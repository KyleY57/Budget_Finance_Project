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73AEF133-CDC3-4932-ACBF-6F47DE350546}" xr6:coauthVersionLast="47" xr6:coauthVersionMax="47" xr10:uidLastSave="{00000000-0000-0000-0000-000000000000}"/>
  <bookViews>
    <workbookView xWindow="-108" yWindow="-108" windowWidth="23256" windowHeight="13176" activeTab="3" xr2:uid="{6D25BD86-F315-48B5-8790-B0624D0F9498}"/>
  </bookViews>
  <sheets>
    <sheet name="Control Panel" sheetId="4" r:id="rId1"/>
    <sheet name="Yearly Saving Result" sheetId="5" r:id="rId2"/>
    <sheet name="Control Panel V2" sheetId="7" r:id="rId3"/>
    <sheet name="One Year Savings" sheetId="10" r:id="rId4"/>
    <sheet name="Tax" sheetId="8" r:id="rId5"/>
  </sheets>
  <definedNames>
    <definedName name="_xlnm._FilterDatabase" localSheetId="3" hidden="1">'One Year Savings'!$A$2:$B$14</definedName>
    <definedName name="_xlnm._FilterDatabase" localSheetId="1" hidden="1">'Yearly Saving Result'!$A$2:$B$38</definedName>
    <definedName name="annual">'Control Panel V2'!$B$13</definedName>
    <definedName name="annualtax">'Control Panel V2'!$B$16</definedName>
    <definedName name="fixcost">'Control Panel V2'!$B$7</definedName>
    <definedName name="float">'Control Panel V2'!$B$9</definedName>
    <definedName name="hourly">'Control Panel V2'!$B$15</definedName>
    <definedName name="monthly">'Control Panel V2'!$B$14</definedName>
    <definedName name="monthlytax">'Control Panel V2'!$B$18</definedName>
    <definedName name="savings">'Control Panel V2'!$B$24</definedName>
    <definedName name="savings_percent">'Control Panel V2'!$B$25</definedName>
    <definedName name="Slicer_Year1">#N/A</definedName>
    <definedName name="varycost">'Control Panel V2'!$B$8</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7" l="1"/>
  <c r="F1" i="10" s="1"/>
  <c r="F4" i="10" s="1"/>
  <c r="B22" i="7"/>
  <c r="H1" i="10" s="1"/>
  <c r="G4" i="10" s="1"/>
  <c r="B13" i="7"/>
  <c r="B14" i="7" s="1"/>
  <c r="B24" i="7" s="1"/>
  <c r="J1" i="10" s="1"/>
  <c r="B15" i="10"/>
  <c r="G7" i="7"/>
  <c r="G6" i="7"/>
  <c r="G5" i="7"/>
  <c r="G4" i="7"/>
  <c r="C5" i="8"/>
  <c r="C6" i="8"/>
  <c r="C7" i="8"/>
  <c r="C4" i="8"/>
  <c r="C5" i="4"/>
  <c r="J1" i="5"/>
  <c r="G35" i="5" s="1"/>
  <c r="H1" i="5"/>
  <c r="D36" i="5" s="1"/>
  <c r="E36" i="5" s="1"/>
  <c r="F1" i="5"/>
  <c r="D1" i="5"/>
  <c r="B1" i="5"/>
  <c r="C3" i="4"/>
  <c r="B39" i="5"/>
  <c r="D38" i="5"/>
  <c r="E38" i="5" s="1"/>
  <c r="G37" i="5"/>
  <c r="D37" i="5"/>
  <c r="E37" i="5" s="1"/>
  <c r="D35" i="5"/>
  <c r="E35" i="5" s="1"/>
  <c r="G33" i="5"/>
  <c r="D33" i="5"/>
  <c r="E33" i="5" s="1"/>
  <c r="D31" i="5"/>
  <c r="E31" i="5" s="1"/>
  <c r="G30" i="5"/>
  <c r="D30" i="5"/>
  <c r="E30" i="5" s="1"/>
  <c r="G29" i="5"/>
  <c r="G28" i="5"/>
  <c r="G27" i="5"/>
  <c r="D27" i="5"/>
  <c r="E27" i="5" s="1"/>
  <c r="G26" i="5"/>
  <c r="G25" i="5"/>
  <c r="D25" i="5"/>
  <c r="E25" i="5" s="1"/>
  <c r="G24" i="5"/>
  <c r="D24" i="5"/>
  <c r="E24" i="5" s="1"/>
  <c r="G23" i="5"/>
  <c r="G22" i="5"/>
  <c r="G21" i="5"/>
  <c r="D21" i="5"/>
  <c r="E21" i="5" s="1"/>
  <c r="G20" i="5"/>
  <c r="G19" i="5"/>
  <c r="D19" i="5"/>
  <c r="E19" i="5" s="1"/>
  <c r="G18" i="5"/>
  <c r="D18" i="5"/>
  <c r="E18" i="5" s="1"/>
  <c r="G17" i="5"/>
  <c r="D17" i="5"/>
  <c r="E17" i="5" s="1"/>
  <c r="F17" i="5" s="1"/>
  <c r="G16" i="5"/>
  <c r="G15" i="5"/>
  <c r="D15" i="5"/>
  <c r="E15" i="5" s="1"/>
  <c r="G14" i="5"/>
  <c r="G13" i="5"/>
  <c r="D13" i="5"/>
  <c r="E13" i="5" s="1"/>
  <c r="G12" i="5"/>
  <c r="D12" i="5"/>
  <c r="E12" i="5" s="1"/>
  <c r="G11" i="5"/>
  <c r="D11" i="5"/>
  <c r="E11" i="5" s="1"/>
  <c r="G10" i="5"/>
  <c r="D10" i="5"/>
  <c r="E10" i="5" s="1"/>
  <c r="G9" i="5"/>
  <c r="D9" i="5"/>
  <c r="E9" i="5" s="1"/>
  <c r="G8" i="5"/>
  <c r="G7" i="5"/>
  <c r="D7" i="5"/>
  <c r="E7" i="5" s="1"/>
  <c r="G6" i="5"/>
  <c r="D6" i="5"/>
  <c r="E6" i="5" s="1"/>
  <c r="G5" i="5"/>
  <c r="D5" i="5"/>
  <c r="E5" i="5" s="1"/>
  <c r="F5" i="5" s="1"/>
  <c r="G4" i="5"/>
  <c r="D4" i="5"/>
  <c r="E4" i="5" s="1"/>
  <c r="G3" i="5"/>
  <c r="D3" i="5"/>
  <c r="C3" i="5"/>
  <c r="C4" i="5" s="1"/>
  <c r="C5" i="5" s="1"/>
  <c r="C6" i="5" s="1"/>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6" i="4"/>
  <c r="C7" i="4"/>
  <c r="C4" i="4"/>
  <c r="F3" i="10" l="1"/>
  <c r="F14" i="10"/>
  <c r="F13" i="10"/>
  <c r="F12" i="10"/>
  <c r="F7" i="10"/>
  <c r="E4" i="10"/>
  <c r="E5" i="10"/>
  <c r="E6" i="10"/>
  <c r="E7" i="10"/>
  <c r="E9" i="10"/>
  <c r="E13" i="10"/>
  <c r="E14" i="10"/>
  <c r="E3" i="10"/>
  <c r="B1" i="10"/>
  <c r="C13" i="10" s="1"/>
  <c r="E12" i="10"/>
  <c r="F11" i="10"/>
  <c r="E11" i="10"/>
  <c r="F10" i="10"/>
  <c r="F9" i="10"/>
  <c r="E8" i="10"/>
  <c r="F8" i="10"/>
  <c r="F6" i="10"/>
  <c r="F5" i="10"/>
  <c r="G3" i="10"/>
  <c r="G14" i="10"/>
  <c r="H14" i="10" s="1"/>
  <c r="G13" i="10"/>
  <c r="G12" i="10"/>
  <c r="H12" i="10" s="1"/>
  <c r="G11" i="10"/>
  <c r="H11" i="10" s="1"/>
  <c r="E10" i="10"/>
  <c r="G10" i="10"/>
  <c r="G9" i="10"/>
  <c r="H9" i="10" s="1"/>
  <c r="G8" i="10"/>
  <c r="G7" i="10"/>
  <c r="H7" i="10" s="1"/>
  <c r="G6" i="10"/>
  <c r="G5" i="10"/>
  <c r="B16" i="7" a="1"/>
  <c r="B16" i="7" s="1"/>
  <c r="B15" i="7"/>
  <c r="H4" i="10"/>
  <c r="G38" i="5"/>
  <c r="G31" i="5"/>
  <c r="G32" i="5"/>
  <c r="G36" i="5"/>
  <c r="D8" i="5"/>
  <c r="E8" i="5" s="1"/>
  <c r="F8" i="5" s="1"/>
  <c r="H8" i="5" s="1"/>
  <c r="I8" i="5" s="1"/>
  <c r="D14" i="5"/>
  <c r="E14" i="5" s="1"/>
  <c r="F14" i="5" s="1"/>
  <c r="H14" i="5" s="1"/>
  <c r="I14" i="5" s="1"/>
  <c r="D20" i="5"/>
  <c r="E20" i="5" s="1"/>
  <c r="F20" i="5" s="1"/>
  <c r="H20" i="5" s="1"/>
  <c r="I20" i="5" s="1"/>
  <c r="D26" i="5"/>
  <c r="E26" i="5" s="1"/>
  <c r="F26" i="5" s="1"/>
  <c r="H26" i="5" s="1"/>
  <c r="I26" i="5" s="1"/>
  <c r="D32" i="5"/>
  <c r="E32" i="5" s="1"/>
  <c r="F32" i="5" s="1"/>
  <c r="D16" i="5"/>
  <c r="E16" i="5" s="1"/>
  <c r="F16" i="5" s="1"/>
  <c r="H16" i="5" s="1"/>
  <c r="I16" i="5" s="1"/>
  <c r="D22" i="5"/>
  <c r="E22" i="5" s="1"/>
  <c r="F22" i="5" s="1"/>
  <c r="H22" i="5" s="1"/>
  <c r="I22" i="5" s="1"/>
  <c r="D28" i="5"/>
  <c r="E28" i="5" s="1"/>
  <c r="F28" i="5" s="1"/>
  <c r="D34" i="5"/>
  <c r="E34" i="5" s="1"/>
  <c r="F34" i="5" s="1"/>
  <c r="D23" i="5"/>
  <c r="E23" i="5" s="1"/>
  <c r="F23" i="5" s="1"/>
  <c r="H23" i="5" s="1"/>
  <c r="I23" i="5" s="1"/>
  <c r="D29" i="5"/>
  <c r="E29" i="5" s="1"/>
  <c r="F29" i="5" s="1"/>
  <c r="H29" i="5" s="1"/>
  <c r="I29" i="5" s="1"/>
  <c r="G34" i="5"/>
  <c r="H17" i="5"/>
  <c r="I17" i="5" s="1"/>
  <c r="H5" i="5"/>
  <c r="I5" i="5" s="1"/>
  <c r="F4" i="5"/>
  <c r="H4" i="5" s="1"/>
  <c r="I4" i="5" s="1"/>
  <c r="E3" i="5"/>
  <c r="F3" i="5" s="1"/>
  <c r="F35" i="5"/>
  <c r="H35" i="5" s="1"/>
  <c r="I35" i="5" s="1"/>
  <c r="F30" i="5"/>
  <c r="H30" i="5" s="1"/>
  <c r="I30" i="5" s="1"/>
  <c r="F6" i="5"/>
  <c r="H6" i="5" s="1"/>
  <c r="I6" i="5" s="1"/>
  <c r="F36" i="5"/>
  <c r="F12" i="5"/>
  <c r="H12" i="5" s="1"/>
  <c r="I12" i="5" s="1"/>
  <c r="F21" i="5"/>
  <c r="H21" i="5" s="1"/>
  <c r="I21" i="5" s="1"/>
  <c r="F10" i="5"/>
  <c r="H10" i="5" s="1"/>
  <c r="I10" i="5" s="1"/>
  <c r="F11" i="5"/>
  <c r="H11" i="5" s="1"/>
  <c r="I11" i="5" s="1"/>
  <c r="F24" i="5"/>
  <c r="H24" i="5" s="1"/>
  <c r="I24" i="5" s="1"/>
  <c r="F38" i="5"/>
  <c r="F33" i="5"/>
  <c r="H33" i="5" s="1"/>
  <c r="I33" i="5" s="1"/>
  <c r="F9" i="5"/>
  <c r="H9" i="5" s="1"/>
  <c r="I9" i="5" s="1"/>
  <c r="F18" i="5"/>
  <c r="H18" i="5" s="1"/>
  <c r="I18" i="5" s="1"/>
  <c r="F13" i="5"/>
  <c r="H13" i="5" s="1"/>
  <c r="I13" i="5" s="1"/>
  <c r="F25" i="5"/>
  <c r="H25" i="5" s="1"/>
  <c r="I25" i="5" s="1"/>
  <c r="F37" i="5"/>
  <c r="H37" i="5" s="1"/>
  <c r="I37" i="5" s="1"/>
  <c r="F15" i="5"/>
  <c r="H15" i="5" s="1"/>
  <c r="I15" i="5" s="1"/>
  <c r="F27" i="5"/>
  <c r="H27" i="5" s="1"/>
  <c r="I27" i="5" s="1"/>
  <c r="F7" i="5"/>
  <c r="H7" i="5" s="1"/>
  <c r="I7" i="5" s="1"/>
  <c r="F19" i="5"/>
  <c r="H19" i="5" s="1"/>
  <c r="I19" i="5" s="1"/>
  <c r="F31" i="5"/>
  <c r="H3" i="10" l="1"/>
  <c r="G15" i="10"/>
  <c r="H13" i="10"/>
  <c r="C5" i="10"/>
  <c r="C12" i="10"/>
  <c r="C7" i="10"/>
  <c r="C8" i="10"/>
  <c r="C4" i="10"/>
  <c r="C3" i="10"/>
  <c r="C14" i="10"/>
  <c r="C9" i="10"/>
  <c r="C10" i="10"/>
  <c r="C11" i="10"/>
  <c r="C6" i="10"/>
  <c r="H6" i="10"/>
  <c r="H10" i="10"/>
  <c r="H8" i="10"/>
  <c r="H5" i="10"/>
  <c r="B18" i="7"/>
  <c r="D1" i="10" s="1"/>
  <c r="D13" i="10" s="1"/>
  <c r="B17" i="7"/>
  <c r="B19" i="7" s="1"/>
  <c r="G39" i="5"/>
  <c r="F15" i="10"/>
  <c r="H38" i="5"/>
  <c r="I38" i="5" s="1"/>
  <c r="H32" i="5"/>
  <c r="I32" i="5" s="1"/>
  <c r="H31" i="5"/>
  <c r="I31" i="5" s="1"/>
  <c r="B40" i="5" a="1"/>
  <c r="B40" i="5" s="1"/>
  <c r="D41" i="5"/>
  <c r="E39" i="5"/>
  <c r="D39" i="5"/>
  <c r="C41" i="5"/>
  <c r="B41" i="5"/>
  <c r="H36" i="5"/>
  <c r="I36" i="5" s="1"/>
  <c r="H34" i="5"/>
  <c r="I34" i="5" s="1"/>
  <c r="D40" i="5"/>
  <c r="H28" i="5"/>
  <c r="I28" i="5" s="1"/>
  <c r="F39" i="5"/>
  <c r="H3" i="5"/>
  <c r="H15" i="10" l="1"/>
  <c r="I13" i="10"/>
  <c r="K13" i="10" s="1"/>
  <c r="C15" i="10"/>
  <c r="D5" i="10"/>
  <c r="D8" i="10"/>
  <c r="I8" i="10" s="1"/>
  <c r="K8" i="10" s="1"/>
  <c r="D14" i="10"/>
  <c r="I14" i="10" s="1"/>
  <c r="K14" i="10" s="1"/>
  <c r="I5" i="10"/>
  <c r="K5" i="10" s="1"/>
  <c r="D3" i="10"/>
  <c r="I3" i="10" s="1"/>
  <c r="J3" i="10" s="1"/>
  <c r="D4" i="10"/>
  <c r="I4" i="10" s="1"/>
  <c r="K4" i="10" s="1"/>
  <c r="D7" i="10"/>
  <c r="I7" i="10" s="1"/>
  <c r="K7" i="10" s="1"/>
  <c r="D6" i="10"/>
  <c r="I6" i="10" s="1"/>
  <c r="K6" i="10" s="1"/>
  <c r="D10" i="10"/>
  <c r="I10" i="10" s="1"/>
  <c r="K10" i="10" s="1"/>
  <c r="D11" i="10"/>
  <c r="I11" i="10" s="1"/>
  <c r="K11" i="10" s="1"/>
  <c r="D12" i="10"/>
  <c r="I12" i="10" s="1"/>
  <c r="K12" i="10" s="1"/>
  <c r="D9" i="10"/>
  <c r="I9" i="10" s="1"/>
  <c r="K9" i="10" s="1"/>
  <c r="B25" i="7"/>
  <c r="E15" i="10"/>
  <c r="I3" i="5"/>
  <c r="I39" i="5" s="1"/>
  <c r="H39" i="5"/>
  <c r="J4" i="10" l="1"/>
  <c r="J5" i="10" s="1"/>
  <c r="J6" i="10" s="1"/>
  <c r="J7" i="10" s="1"/>
  <c r="J8" i="10" s="1"/>
  <c r="J9" i="10" s="1"/>
  <c r="J10" i="10" s="1"/>
  <c r="J11" i="10" s="1"/>
  <c r="J12" i="10" s="1"/>
  <c r="J13" i="10" s="1"/>
  <c r="J14" i="10" s="1"/>
  <c r="D15" i="10"/>
  <c r="C16" i="10"/>
  <c r="B16" i="10" s="1"/>
  <c r="K3" i="10"/>
  <c r="K15" i="10" s="1"/>
  <c r="I15" i="10"/>
  <c r="J15"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<sst xmlns="http://schemas.openxmlformats.org/spreadsheetml/2006/main" count="131" uniqueCount="79">
  <si>
    <t>Savings</t>
  </si>
  <si>
    <t>Date</t>
  </si>
  <si>
    <t>January</t>
  </si>
  <si>
    <t>February</t>
  </si>
  <si>
    <t>March</t>
  </si>
  <si>
    <t>April</t>
  </si>
  <si>
    <t>May</t>
  </si>
  <si>
    <t>June</t>
  </si>
  <si>
    <t>July</t>
  </si>
  <si>
    <t>August</t>
  </si>
  <si>
    <t>September</t>
  </si>
  <si>
    <t>October</t>
  </si>
  <si>
    <t>November</t>
  </si>
  <si>
    <t>December</t>
  </si>
  <si>
    <t>Gross Pay</t>
  </si>
  <si>
    <t>Net Pay</t>
  </si>
  <si>
    <t>Disposable Income</t>
  </si>
  <si>
    <t>Monthly Expenses (Fixed Costs)</t>
  </si>
  <si>
    <t>Year</t>
  </si>
  <si>
    <t>Within Budget?</t>
  </si>
  <si>
    <t>Total</t>
  </si>
  <si>
    <t>Top Gross (Filter)</t>
  </si>
  <si>
    <t>Top Gross (All)</t>
  </si>
  <si>
    <t>Month</t>
  </si>
  <si>
    <t>Savings Rate =</t>
  </si>
  <si>
    <t>Tax Rate =</t>
  </si>
  <si>
    <t>Monthly Lower Bound =</t>
  </si>
  <si>
    <t xml:space="preserve">Monthly Upper Bound = </t>
  </si>
  <si>
    <t>Monthly Expense Average=</t>
  </si>
  <si>
    <t>Monthly Income Lower Bound</t>
  </si>
  <si>
    <t>Monthly Income Upper Bound</t>
  </si>
  <si>
    <t>Monthly Expense Average</t>
  </si>
  <si>
    <t>Decimal Value (Automatic)</t>
  </si>
  <si>
    <t xml:space="preserve">Value </t>
  </si>
  <si>
    <t>Tax Rate (%)</t>
  </si>
  <si>
    <t>Savings Rate (%)</t>
  </si>
  <si>
    <t>Control Panel</t>
  </si>
  <si>
    <t>Tax Brackets</t>
  </si>
  <si>
    <t>Salary (Annual)</t>
  </si>
  <si>
    <t xml:space="preserve">Marginal Tax Rate </t>
  </si>
  <si>
    <t>Rate Increase</t>
  </si>
  <si>
    <t>Income Type</t>
  </si>
  <si>
    <t>Salary amount or hourly wage amount</t>
  </si>
  <si>
    <t>Income $</t>
  </si>
  <si>
    <t>Salary or Hourly wage</t>
  </si>
  <si>
    <t>Tax Brackets (BC 2026)</t>
  </si>
  <si>
    <t>Monthly Salary</t>
  </si>
  <si>
    <t xml:space="preserve">Annual Salary </t>
  </si>
  <si>
    <t>Hourly Rate</t>
  </si>
  <si>
    <t>Calculations (Automatic)</t>
  </si>
  <si>
    <t>If empty, 40 hours is assumed</t>
  </si>
  <si>
    <t>Annual Tax Owed</t>
  </si>
  <si>
    <t>Monthly Tax Owed</t>
  </si>
  <si>
    <t xml:space="preserve">Target Savings </t>
  </si>
  <si>
    <t>Percentage or amount you aim to save per MONTH</t>
  </si>
  <si>
    <t>Target Amount/Percent</t>
  </si>
  <si>
    <t>If Percent, use whole numbers (7.5 = 7.5%)</t>
  </si>
  <si>
    <t>Savings $ per month</t>
  </si>
  <si>
    <t>Savings % per month</t>
  </si>
  <si>
    <t>Percent Goal</t>
  </si>
  <si>
    <t>This percent calculation is POST tax</t>
  </si>
  <si>
    <t>Effective Annual Tax Rate</t>
  </si>
  <si>
    <t>Monthly Effective Tax Rate</t>
  </si>
  <si>
    <t>Fixed Monthly Costs</t>
  </si>
  <si>
    <t>Fixed costs, such as rent or bills.</t>
  </si>
  <si>
    <t>Varied Monthly Costs (avg)</t>
  </si>
  <si>
    <t>Varying Costs, such as grocceries, dining, or presents</t>
  </si>
  <si>
    <t>Monthly Variable Expenses</t>
  </si>
  <si>
    <t>Total Expenses</t>
  </si>
  <si>
    <t>Monthly Fixed Expenses</t>
  </si>
  <si>
    <t>Monthly Savings</t>
  </si>
  <si>
    <t>Monthly Tax deduction</t>
  </si>
  <si>
    <t>Monthly Varied Expenses (avg)</t>
  </si>
  <si>
    <t>Best month</t>
  </si>
  <si>
    <t>Hourly Wage</t>
  </si>
  <si>
    <t>Hours worked per week (avg)</t>
  </si>
  <si>
    <t>Net Balance</t>
  </si>
  <si>
    <t>Current Bank Balance</t>
  </si>
  <si>
    <t>Can be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</si>
</sst>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409]mmm\-yy;@"/>
    <numFmt numFmtId="165" formatCode="_([$$-409]* #,##0.00_);_([$$-409]* \(#,##0.00\);_([$$-409]*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b/>
      <sz val="15"/>
      <color theme="3"/>
      <name val="Aptos Narrow"/>
      <family val="2"/>
      <scheme val="minor"/>
    </font>
    <font>
      <b/>
      <i/>
      <sz val="11"/>
      <color theme="1"/>
      <name val="Aptos Narrow"/>
      <family val="2"/>
      <scheme val="minor"/>
    </font>
    <font>
      <sz val="11"/>
      <color rgb="FF000000"/>
      <name val="Aptos Narrow"/>
      <family val="2"/>
    </font>
  </fonts>
  <fills count="9">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tint="-9.9978637043366805E-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ck">
        <color theme="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right/>
      <top/>
      <bottom style="thin">
        <color theme="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ck">
        <color theme="4"/>
      </bottom>
      <diagonal/>
    </border>
    <border>
      <left/>
      <right/>
      <top style="thin">
        <color theme="1" tint="0.499984740745262"/>
      </top>
      <bottom style="thick">
        <color theme="4"/>
      </bottom>
      <diagonal/>
    </border>
    <border>
      <left/>
      <right style="thin">
        <color theme="1" tint="0.499984740745262"/>
      </right>
      <top style="thin">
        <color theme="1" tint="0.499984740745262"/>
      </top>
      <bottom style="thick">
        <color theme="4"/>
      </bottom>
      <diagonal/>
    </border>
    <border>
      <left style="thin">
        <color theme="1" tint="0.499984740745262"/>
      </left>
      <right/>
      <top style="thin">
        <color theme="2" tint="-9.9978637043366805E-2"/>
      </top>
      <bottom/>
      <diagonal/>
    </border>
    <border>
      <left/>
      <right style="thin">
        <color theme="1" tint="0.499984740745262"/>
      </right>
      <top/>
      <bottom/>
      <diagonal/>
    </border>
    <border>
      <left style="thin">
        <color theme="1" tint="0.499984740745262"/>
      </left>
      <right style="thin">
        <color theme="2"/>
      </right>
      <top style="thin">
        <color theme="2"/>
      </top>
      <bottom style="thin">
        <color theme="2"/>
      </bottom>
      <diagonal/>
    </border>
    <border>
      <left style="thin">
        <color theme="2"/>
      </left>
      <right style="thin">
        <color theme="1" tint="0.499984740745262"/>
      </right>
      <top style="thin">
        <color theme="2"/>
      </top>
      <bottom style="thin">
        <color theme="2"/>
      </bottom>
      <diagonal/>
    </border>
    <border>
      <left style="thin">
        <color theme="1" tint="0.499984740745262"/>
      </left>
      <right style="thin">
        <color theme="2"/>
      </right>
      <top style="thin">
        <color theme="2"/>
      </top>
      <bottom style="thin">
        <color theme="1" tint="0.499984740745262"/>
      </bottom>
      <diagonal/>
    </border>
    <border>
      <left style="thin">
        <color theme="2"/>
      </left>
      <right style="thin">
        <color theme="2"/>
      </right>
      <top style="thin">
        <color theme="2"/>
      </top>
      <bottom style="thin">
        <color theme="1" tint="0.499984740745262"/>
      </bottom>
      <diagonal/>
    </border>
    <border>
      <left style="thin">
        <color theme="2"/>
      </left>
      <right style="thin">
        <color theme="1" tint="0.499984740745262"/>
      </right>
      <top style="thin">
        <color theme="2"/>
      </top>
      <bottom style="thin">
        <color theme="1" tint="0.499984740745262"/>
      </bottom>
      <diagonal/>
    </border>
    <border>
      <left style="thin">
        <color theme="1" tint="0.499984740745262"/>
      </left>
      <right/>
      <top/>
      <bottom/>
      <diagonal/>
    </border>
    <border>
      <left style="thin">
        <color theme="1" tint="0.499984740745262"/>
      </left>
      <right/>
      <top style="thin">
        <color theme="2"/>
      </top>
      <bottom style="thin">
        <color theme="2"/>
      </bottom>
      <diagonal/>
    </border>
    <border>
      <left/>
      <right style="thin">
        <color theme="1" tint="0.499984740745262"/>
      </right>
      <top style="thin">
        <color theme="2"/>
      </top>
      <bottom style="thin">
        <color theme="2"/>
      </bottom>
      <diagonal/>
    </border>
    <border>
      <left style="thin">
        <color theme="1" tint="0.499984740745262"/>
      </left>
      <right style="thin">
        <color theme="1" tint="0.499984740745262"/>
      </right>
      <top style="thin">
        <color theme="1" tint="0.499984740745262"/>
      </top>
      <bottom style="thin">
        <color indexed="64"/>
      </bottom>
      <diagonal/>
    </border>
    <border>
      <left/>
      <right style="thin">
        <color theme="1" tint="0.499984740745262"/>
      </right>
      <top style="thin">
        <color theme="2"/>
      </top>
      <bottom/>
      <diagonal/>
    </border>
    <border>
      <left/>
      <right/>
      <top/>
      <bottom style="thin">
        <color theme="1" tint="0.499984740745262"/>
      </bottom>
      <diagonal/>
    </border>
    <border>
      <left/>
      <right/>
      <top style="thin">
        <color theme="2"/>
      </top>
      <bottom style="thin">
        <color theme="1" tint="0.499984740745262"/>
      </bottom>
      <diagonal/>
    </border>
    <border>
      <left style="thin">
        <color theme="1" tint="0.499984740745262"/>
      </left>
      <right style="thin">
        <color theme="1" tint="0.499984740745262"/>
      </right>
      <top style="thin">
        <color theme="2"/>
      </top>
      <bottom style="thin">
        <color theme="2"/>
      </bottom>
      <diagonal/>
    </border>
    <border>
      <left style="thin">
        <color theme="2"/>
      </left>
      <right/>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left>
      <right/>
      <top style="thin">
        <color theme="2"/>
      </top>
      <bottom style="thin">
        <color theme="2"/>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3" fillId="0" borderId="10" applyNumberFormat="0" applyFill="0" applyAlignment="0" applyProtection="0"/>
  </cellStyleXfs>
  <cellXfs count="94">
    <xf numFmtId="0" fontId="0" fillId="0" borderId="0" xfId="0"/>
    <xf numFmtId="8"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4" fontId="0" fillId="0" borderId="1" xfId="0" applyNumberFormat="1" applyBorder="1"/>
    <xf numFmtId="8" fontId="0" fillId="0" borderId="1" xfId="0" applyNumberFormat="1" applyBorder="1"/>
    <xf numFmtId="8" fontId="0" fillId="0" borderId="6" xfId="0" applyNumberFormat="1" applyBorder="1"/>
    <xf numFmtId="0" fontId="0" fillId="0" borderId="7" xfId="0" applyBorder="1"/>
    <xf numFmtId="14" fontId="0" fillId="0" borderId="8" xfId="0" applyNumberFormat="1" applyBorder="1"/>
    <xf numFmtId="8" fontId="0" fillId="0" borderId="8" xfId="0" applyNumberFormat="1" applyBorder="1"/>
    <xf numFmtId="0" fontId="0" fillId="0" borderId="1" xfId="0" applyBorder="1"/>
    <xf numFmtId="0" fontId="0" fillId="0" borderId="9" xfId="0" applyBorder="1"/>
    <xf numFmtId="0" fontId="0" fillId="0" borderId="8" xfId="0" applyBorder="1"/>
    <xf numFmtId="0" fontId="1" fillId="2" borderId="0" xfId="0" applyFont="1" applyFill="1"/>
    <xf numFmtId="0" fontId="1" fillId="3" borderId="0" xfId="0" applyFont="1" applyFill="1"/>
    <xf numFmtId="44" fontId="0" fillId="2" borderId="0" xfId="1" applyFont="1" applyFill="1"/>
    <xf numFmtId="44" fontId="1" fillId="3" borderId="0" xfId="1" applyFont="1" applyFill="1"/>
    <xf numFmtId="164" fontId="0" fillId="0" borderId="1" xfId="0" applyNumberFormat="1" applyBorder="1"/>
    <xf numFmtId="0" fontId="1" fillId="0" borderId="0" xfId="0" applyFont="1"/>
    <xf numFmtId="44" fontId="0" fillId="0" borderId="0" xfId="1" applyFont="1" applyFill="1" applyBorder="1"/>
    <xf numFmtId="44" fontId="1" fillId="0" borderId="0" xfId="1" applyFont="1" applyFill="1" applyBorder="1"/>
    <xf numFmtId="9" fontId="1" fillId="2" borderId="0" xfId="0" applyNumberFormat="1" applyFont="1" applyFill="1"/>
    <xf numFmtId="0" fontId="0" fillId="0" borderId="11" xfId="0" applyBorder="1"/>
    <xf numFmtId="0" fontId="0" fillId="4" borderId="11" xfId="0" applyFill="1" applyBorder="1"/>
    <xf numFmtId="0" fontId="1" fillId="4" borderId="11" xfId="0" applyFont="1" applyFill="1" applyBorder="1"/>
    <xf numFmtId="44" fontId="0" fillId="4" borderId="11" xfId="1" applyFont="1" applyFill="1" applyBorder="1"/>
    <xf numFmtId="44" fontId="1" fillId="4" borderId="11" xfId="1" applyFont="1" applyFill="1" applyBorder="1"/>
    <xf numFmtId="9" fontId="1" fillId="5" borderId="0" xfId="2" applyFont="1" applyFill="1" applyBorder="1"/>
    <xf numFmtId="44" fontId="0" fillId="5" borderId="0" xfId="1" applyFont="1" applyFill="1" applyBorder="1"/>
    <xf numFmtId="2" fontId="1" fillId="0" borderId="0" xfId="2" applyNumberFormat="1" applyFont="1" applyFill="1" applyBorder="1" applyProtection="1">
      <protection locked="0"/>
    </xf>
    <xf numFmtId="2" fontId="1" fillId="0" borderId="0" xfId="0" applyNumberFormat="1" applyFont="1" applyProtection="1">
      <protection locked="0"/>
    </xf>
    <xf numFmtId="0" fontId="1" fillId="0" borderId="0" xfId="0" applyFont="1" applyProtection="1">
      <protection locked="0"/>
    </xf>
    <xf numFmtId="44" fontId="0" fillId="0" borderId="0" xfId="1" applyFont="1"/>
    <xf numFmtId="10" fontId="0" fillId="0" borderId="0" xfId="2" applyNumberFormat="1" applyFont="1"/>
    <xf numFmtId="44" fontId="0" fillId="0" borderId="0" xfId="1" applyFont="1" applyProtection="1"/>
    <xf numFmtId="10" fontId="0" fillId="0" borderId="0" xfId="2" applyNumberFormat="1" applyFont="1" applyProtection="1"/>
    <xf numFmtId="44" fontId="0" fillId="0" borderId="1" xfId="0" applyNumberFormat="1" applyBorder="1"/>
    <xf numFmtId="0" fontId="1" fillId="2" borderId="1" xfId="0" applyFont="1" applyFill="1" applyBorder="1" applyAlignment="1">
      <alignment vertical="center"/>
    </xf>
    <xf numFmtId="44" fontId="1" fillId="2" borderId="1" xfId="0" applyNumberFormat="1" applyFont="1" applyFill="1" applyBorder="1" applyAlignment="1">
      <alignment vertical="center"/>
    </xf>
    <xf numFmtId="44" fontId="1" fillId="2" borderId="1" xfId="1" applyFont="1" applyFill="1" applyBorder="1" applyAlignment="1">
      <alignment vertical="center"/>
    </xf>
    <xf numFmtId="0" fontId="0" fillId="0" borderId="14" xfId="0" applyBorder="1"/>
    <xf numFmtId="44" fontId="1" fillId="4" borderId="13" xfId="1" applyFont="1" applyFill="1" applyBorder="1"/>
    <xf numFmtId="0" fontId="1" fillId="6" borderId="15" xfId="0" applyFont="1" applyFill="1" applyBorder="1"/>
    <xf numFmtId="0" fontId="1" fillId="4" borderId="0" xfId="0" applyFont="1" applyFill="1"/>
    <xf numFmtId="0" fontId="0" fillId="4" borderId="0" xfId="0" applyFill="1"/>
    <xf numFmtId="44" fontId="0" fillId="4" borderId="0" xfId="1" applyFont="1" applyFill="1" applyBorder="1"/>
    <xf numFmtId="44" fontId="1" fillId="4" borderId="0" xfId="1" applyFont="1" applyFill="1" applyBorder="1"/>
    <xf numFmtId="44" fontId="1" fillId="2" borderId="16" xfId="1" applyFont="1" applyFill="1" applyBorder="1"/>
    <xf numFmtId="0" fontId="1" fillId="2" borderId="16" xfId="2" applyNumberFormat="1" applyFont="1" applyFill="1" applyBorder="1" applyAlignment="1"/>
    <xf numFmtId="0" fontId="1" fillId="2" borderId="16" xfId="0" applyFont="1" applyFill="1" applyBorder="1" applyProtection="1">
      <protection locked="0"/>
    </xf>
    <xf numFmtId="2" fontId="2" fillId="2" borderId="16" xfId="1" applyNumberFormat="1" applyFont="1" applyFill="1" applyBorder="1"/>
    <xf numFmtId="44" fontId="2" fillId="2" borderId="16" xfId="1" applyFont="1" applyFill="1" applyBorder="1"/>
    <xf numFmtId="0" fontId="1" fillId="7" borderId="20" xfId="0" applyFont="1" applyFill="1" applyBorder="1" applyProtection="1">
      <protection locked="0"/>
    </xf>
    <xf numFmtId="0" fontId="0" fillId="7" borderId="21" xfId="0" applyFill="1" applyBorder="1"/>
    <xf numFmtId="0" fontId="1" fillId="7" borderId="22" xfId="0" applyFont="1" applyFill="1" applyBorder="1" applyProtection="1">
      <protection locked="0"/>
    </xf>
    <xf numFmtId="0" fontId="0" fillId="7" borderId="23" xfId="0" applyFill="1" applyBorder="1"/>
    <xf numFmtId="0" fontId="1" fillId="7" borderId="22" xfId="0" applyFont="1" applyFill="1" applyBorder="1"/>
    <xf numFmtId="0" fontId="1" fillId="7" borderId="23" xfId="0" applyFont="1" applyFill="1" applyBorder="1"/>
    <xf numFmtId="0" fontId="1" fillId="7" borderId="24" xfId="0" applyFont="1" applyFill="1" applyBorder="1"/>
    <xf numFmtId="0" fontId="4" fillId="7" borderId="26" xfId="0" applyFont="1" applyFill="1" applyBorder="1"/>
    <xf numFmtId="0" fontId="4" fillId="7" borderId="21" xfId="0" applyFont="1" applyFill="1" applyBorder="1" applyProtection="1">
      <protection locked="0"/>
    </xf>
    <xf numFmtId="2" fontId="4" fillId="7" borderId="29" xfId="2" applyNumberFormat="1" applyFont="1" applyFill="1" applyBorder="1" applyProtection="1">
      <protection locked="0"/>
    </xf>
    <xf numFmtId="2" fontId="4" fillId="7" borderId="29" xfId="0" applyNumberFormat="1" applyFont="1" applyFill="1" applyBorder="1" applyProtection="1">
      <protection locked="0"/>
    </xf>
    <xf numFmtId="2" fontId="1" fillId="7" borderId="29" xfId="2" applyNumberFormat="1" applyFont="1" applyFill="1" applyBorder="1" applyProtection="1">
      <protection locked="0"/>
    </xf>
    <xf numFmtId="0" fontId="1" fillId="7" borderId="27" xfId="0" applyFont="1" applyFill="1" applyBorder="1" applyProtection="1">
      <protection locked="0"/>
    </xf>
    <xf numFmtId="0" fontId="1" fillId="7" borderId="28" xfId="0" applyFont="1" applyFill="1" applyBorder="1" applyProtection="1">
      <protection locked="0"/>
    </xf>
    <xf numFmtId="44" fontId="1" fillId="8" borderId="13" xfId="1" applyFont="1" applyFill="1" applyBorder="1"/>
    <xf numFmtId="10" fontId="1" fillId="8" borderId="13" xfId="2" applyNumberFormat="1" applyFont="1" applyFill="1" applyBorder="1"/>
    <xf numFmtId="44" fontId="1" fillId="8" borderId="13" xfId="0" applyNumberFormat="1" applyFont="1" applyFill="1" applyBorder="1"/>
    <xf numFmtId="0" fontId="1" fillId="8" borderId="13" xfId="0" applyFont="1" applyFill="1" applyBorder="1"/>
    <xf numFmtId="165" fontId="1" fillId="8" borderId="13" xfId="0" applyNumberFormat="1" applyFont="1" applyFill="1" applyBorder="1"/>
    <xf numFmtId="9" fontId="1" fillId="8" borderId="25" xfId="2" applyFont="1" applyFill="1" applyBorder="1"/>
    <xf numFmtId="44" fontId="1" fillId="8" borderId="12" xfId="1" applyFont="1" applyFill="1" applyBorder="1"/>
    <xf numFmtId="44" fontId="0" fillId="0" borderId="6" xfId="0" applyNumberFormat="1" applyBorder="1"/>
    <xf numFmtId="0" fontId="0" fillId="2" borderId="30" xfId="0" applyFill="1" applyBorder="1"/>
    <xf numFmtId="2" fontId="4" fillId="7" borderId="31" xfId="0" applyNumberFormat="1" applyFont="1" applyFill="1" applyBorder="1" applyProtection="1">
      <protection locked="0"/>
    </xf>
    <xf numFmtId="0" fontId="1" fillId="7" borderId="32" xfId="0" applyFont="1" applyFill="1" applyBorder="1" applyProtection="1">
      <protection locked="0"/>
    </xf>
    <xf numFmtId="44" fontId="0" fillId="2" borderId="32" xfId="1" applyFont="1" applyFill="1" applyBorder="1"/>
    <xf numFmtId="2" fontId="4" fillId="7" borderId="33" xfId="0" applyNumberFormat="1" applyFont="1" applyFill="1" applyBorder="1" applyProtection="1">
      <protection locked="0"/>
    </xf>
    <xf numFmtId="0" fontId="1" fillId="7" borderId="34" xfId="0" applyFont="1" applyFill="1" applyBorder="1" applyProtection="1">
      <protection locked="0"/>
    </xf>
    <xf numFmtId="0" fontId="3" fillId="0" borderId="10" xfId="3" applyAlignment="1" applyProtection="1">
      <alignment horizontal="center"/>
      <protection locked="0"/>
    </xf>
    <xf numFmtId="0" fontId="3" fillId="7" borderId="17" xfId="3" applyFill="1" applyBorder="1" applyAlignment="1" applyProtection="1">
      <alignment horizontal="center"/>
      <protection locked="0"/>
    </xf>
    <xf numFmtId="0" fontId="3" fillId="7" borderId="18" xfId="3" applyFill="1" applyBorder="1" applyAlignment="1" applyProtection="1">
      <alignment horizontal="center"/>
      <protection locked="0"/>
    </xf>
    <xf numFmtId="0" fontId="3" fillId="7" borderId="19" xfId="3" applyFill="1" applyBorder="1" applyAlignment="1" applyProtection="1">
      <alignment horizontal="center"/>
      <protection locked="0"/>
    </xf>
    <xf numFmtId="0" fontId="3" fillId="0" borderId="0" xfId="3" applyBorder="1" applyAlignment="1" applyProtection="1">
      <alignment horizontal="center"/>
    </xf>
    <xf numFmtId="0" fontId="3" fillId="0" borderId="0" xfId="3" applyBorder="1" applyAlignment="1" applyProtection="1">
      <alignment horizontal="center"/>
      <protection locked="0"/>
    </xf>
    <xf numFmtId="0" fontId="3" fillId="0" borderId="35" xfId="3" applyBorder="1" applyAlignment="1" applyProtection="1">
      <protection locked="0"/>
    </xf>
    <xf numFmtId="0" fontId="1" fillId="0" borderId="36" xfId="0" applyFont="1" applyBorder="1"/>
    <xf numFmtId="0" fontId="3" fillId="0" borderId="37" xfId="3" applyBorder="1" applyAlignment="1" applyProtection="1">
      <protection locked="0"/>
    </xf>
    <xf numFmtId="44" fontId="0" fillId="0" borderId="14" xfId="1" applyFont="1" applyFill="1" applyBorder="1"/>
    <xf numFmtId="0" fontId="3" fillId="0" borderId="36" xfId="3" applyBorder="1" applyAlignment="1" applyProtection="1">
      <protection locked="0"/>
    </xf>
    <xf numFmtId="0" fontId="1" fillId="0" borderId="38" xfId="0" applyFont="1" applyBorder="1"/>
  </cellXfs>
  <cellStyles count="4">
    <cellStyle name="Currency" xfId="1" builtinId="4"/>
    <cellStyle name="Heading 1" xfId="3" builtinId="16"/>
    <cellStyle name="Normal" xfId="0" builtinId="0"/>
    <cellStyle name="Percent" xfId="2" builtinId="5"/>
  </cellStyles>
  <dxfs count="73">
    <dxf>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border outline="0">
        <top style="thick">
          <color theme="4"/>
        </top>
      </border>
    </dxf>
    <dxf>
      <font>
        <b val="0"/>
        <i val="0"/>
        <strike val="0"/>
        <condense val="0"/>
        <extend val="0"/>
        <outline val="0"/>
        <shadow val="0"/>
        <u val="none"/>
        <vertAlign val="baseline"/>
        <sz val="11"/>
        <color theme="1"/>
        <name val="Aptos Narrow"/>
        <family val="2"/>
        <scheme val="minor"/>
      </font>
      <numFmt numFmtId="14" formatCode="0.00%"/>
      <protection locked="1" hidden="0"/>
    </dxf>
    <dxf>
      <font>
        <b val="0"/>
        <i val="0"/>
        <strike val="0"/>
        <condense val="0"/>
        <extend val="0"/>
        <outline val="0"/>
        <shadow val="0"/>
        <u val="none"/>
        <vertAlign val="baseline"/>
        <sz val="11"/>
        <color theme="1"/>
        <name val="Aptos Narrow"/>
        <family val="2"/>
        <scheme val="minor"/>
      </font>
      <numFmt numFmtId="14" formatCode="0.00%"/>
      <protection locked="1" hidden="0"/>
    </dxf>
    <dxf>
      <font>
        <b val="0"/>
        <i val="0"/>
        <strike val="0"/>
        <condense val="0"/>
        <extend val="0"/>
        <outline val="0"/>
        <shadow val="0"/>
        <u val="none"/>
        <vertAlign val="baseline"/>
        <sz val="11"/>
        <color theme="1"/>
        <name val="Aptos Narrow"/>
        <family val="2"/>
        <scheme val="minor"/>
      </font>
      <protection locked="1" hidden="0"/>
    </dxf>
    <dxf>
      <border outline="0">
        <top style="thick">
          <color theme="4"/>
        </top>
      </border>
    </dxf>
    <dxf>
      <protection locked="1" hidden="0"/>
    </dxf>
    <dxf>
      <protection locked="1" hidden="0"/>
    </dxf>
    <dxf>
      <border diagonalUp="0" diagonalDown="0" outline="0">
        <left style="thin">
          <color indexed="64"/>
        </left>
        <right/>
        <top style="thin">
          <color indexed="64"/>
        </top>
        <bottom/>
      </border>
    </dxf>
    <dxf>
      <numFmt numFmtId="12" formatCode="&quot;$&quot;#,##0.00_);[Red]\(&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outline="0">
        <left style="thin">
          <color indexed="64"/>
        </left>
        <right style="thin">
          <color indexed="64"/>
        </right>
        <top style="thin">
          <color indexed="64"/>
        </top>
        <bottom/>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numFmt numFmtId="12" formatCode="&quot;$&quot;#,##0.00_);[Red]\(&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34" formatCode="_(&quot;$&quot;* #,##0.00_);_(&quot;$&quot;* \(#,##0.00\);_(&quot;$&quot;* &quot;-&quot;??_);_(@_)"/>
      <border diagonalUp="0" diagonalDown="0">
        <left style="thin">
          <color indexed="64"/>
        </left>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horizontal/>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7"/>
          <c:order val="0"/>
          <c:tx>
            <c:strRef>
              <c:f>'Yearly Saving Result'!$H$2</c:f>
              <c:strCache>
                <c:ptCount val="1"/>
                <c:pt idx="0">
                  <c:v>Disposable Income</c:v>
                </c:pt>
              </c:strCache>
            </c:strRef>
          </c:tx>
          <c:spPr>
            <a:ln w="28575" cap="rnd">
              <a:solidFill>
                <a:schemeClr val="accent2">
                  <a:lumMod val="60000"/>
                </a:schemeClr>
              </a:solidFill>
              <a:round/>
            </a:ln>
            <a:effectLst/>
          </c:spPr>
          <c:marker>
            <c:symbol val="none"/>
          </c:marker>
          <c:val>
            <c:numRef>
              <c:f>'Yearly Saving Result'!$H$3:$H$38</c:f>
              <c:numCache>
                <c:formatCode>"$"#,##0.00_);[Red]\("$"#,##0.00\)</c:formatCode>
                <c:ptCount val="12"/>
                <c:pt idx="0">
                  <c:v>-595.15484360105074</c:v>
                </c:pt>
                <c:pt idx="1">
                  <c:v>-390.13466219598013</c:v>
                </c:pt>
                <c:pt idx="2">
                  <c:v>-796.40584481050655</c:v>
                </c:pt>
                <c:pt idx="3">
                  <c:v>-372.80400153466826</c:v>
                </c:pt>
                <c:pt idx="4">
                  <c:v>653.71677222043854</c:v>
                </c:pt>
                <c:pt idx="5">
                  <c:v>580.95289322540407</c:v>
                </c:pt>
                <c:pt idx="6">
                  <c:v>42.521791387862777</c:v>
                </c:pt>
                <c:pt idx="7">
                  <c:v>-1057.3781446874914</c:v>
                </c:pt>
                <c:pt idx="8">
                  <c:v>1709.2067010697597</c:v>
                </c:pt>
                <c:pt idx="9">
                  <c:v>231.5350749187055</c:v>
                </c:pt>
                <c:pt idx="10">
                  <c:v>1199.8420126239889</c:v>
                </c:pt>
                <c:pt idx="11">
                  <c:v>1436.7528874371958</c:v>
                </c:pt>
              </c:numCache>
            </c:numRef>
          </c:val>
          <c:smooth val="0"/>
          <c:extLst>
            <c:ext xmlns:c16="http://schemas.microsoft.com/office/drawing/2014/chart" uri="{C3380CC4-5D6E-409C-BE32-E72D297353CC}">
              <c16:uniqueId val="{00000000-D0CA-4685-A518-61B7D5C75983}"/>
            </c:ext>
          </c:extLst>
        </c:ser>
        <c:dLbls>
          <c:showLegendKey val="0"/>
          <c:showVal val="0"/>
          <c:showCatName val="0"/>
          <c:showSerName val="0"/>
          <c:showPercent val="0"/>
          <c:showBubbleSize val="0"/>
        </c:dLbls>
        <c:smooth val="0"/>
        <c:axId val="505206768"/>
        <c:axId val="505204368"/>
      </c:lineChart>
      <c:catAx>
        <c:axId val="5052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04368"/>
        <c:crosses val="autoZero"/>
        <c:auto val="1"/>
        <c:lblAlgn val="ctr"/>
        <c:lblOffset val="100"/>
        <c:noMultiLvlLbl val="0"/>
      </c:catAx>
      <c:valAx>
        <c:axId val="505204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0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7"/>
          <c:order val="0"/>
          <c:tx>
            <c:strRef>
              <c:f>'One Year Savings'!$I$2</c:f>
              <c:strCache>
                <c:ptCount val="1"/>
                <c:pt idx="0">
                  <c:v>Disposable Income</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val>
            <c:numRef>
              <c:f>'One Year Savings'!$I$3:$I$14</c:f>
              <c:numCache>
                <c:formatCode>_("$"* #,##0.00_);_("$"* \(#,##0.00\);_("$"* "-"??_);_(@_)</c:formatCode>
                <c:ptCount val="12"/>
                <c:pt idx="0">
                  <c:v>781.56154382022214</c:v>
                </c:pt>
                <c:pt idx="1">
                  <c:v>496.77835969584476</c:v>
                </c:pt>
                <c:pt idx="2">
                  <c:v>447.69294888099193</c:v>
                </c:pt>
                <c:pt idx="3">
                  <c:v>461.73982292054188</c:v>
                </c:pt>
                <c:pt idx="4">
                  <c:v>1036.8590758499181</c:v>
                </c:pt>
                <c:pt idx="5">
                  <c:v>150.8532324417265</c:v>
                </c:pt>
                <c:pt idx="6">
                  <c:v>-50.835534725504658</c:v>
                </c:pt>
                <c:pt idx="7">
                  <c:v>176.72246950888712</c:v>
                </c:pt>
                <c:pt idx="8">
                  <c:v>-237.14049006850519</c:v>
                </c:pt>
                <c:pt idx="9">
                  <c:v>427.91225324555444</c:v>
                </c:pt>
                <c:pt idx="10">
                  <c:v>337.67279836056559</c:v>
                </c:pt>
                <c:pt idx="11">
                  <c:v>378.8070812815522</c:v>
                </c:pt>
              </c:numCache>
            </c:numRef>
          </c:val>
          <c:smooth val="0"/>
          <c:extLst>
            <c:ext xmlns:c16="http://schemas.microsoft.com/office/drawing/2014/chart" uri="{C3380CC4-5D6E-409C-BE32-E72D297353CC}">
              <c16:uniqueId val="{00000000-B3F6-4ABB-A35D-A1AEEAE14E71}"/>
            </c:ext>
          </c:extLst>
        </c:ser>
        <c:dLbls>
          <c:showLegendKey val="0"/>
          <c:showVal val="0"/>
          <c:showCatName val="0"/>
          <c:showSerName val="0"/>
          <c:showPercent val="0"/>
          <c:showBubbleSize val="0"/>
        </c:dLbls>
        <c:smooth val="0"/>
        <c:axId val="505206768"/>
        <c:axId val="505204368"/>
      </c:lineChart>
      <c:catAx>
        <c:axId val="5052067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204368"/>
        <c:crosses val="autoZero"/>
        <c:auto val="1"/>
        <c:lblAlgn val="ctr"/>
        <c:lblOffset val="100"/>
        <c:noMultiLvlLbl val="0"/>
      </c:catAx>
      <c:valAx>
        <c:axId val="50520436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20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Bank Balance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v>Bank Balance</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'One Year Savings'!$J$3:$J$14</c:f>
              <c:numCache>
                <c:formatCode>_("$"* #,##0.00_);_("$"* \(#,##0.00\);_("$"* "-"??_);_(@_)</c:formatCode>
                <c:ptCount val="12"/>
                <c:pt idx="0">
                  <c:v>-33561.438456179778</c:v>
                </c:pt>
                <c:pt idx="1">
                  <c:v>-33064.660096483931</c:v>
                </c:pt>
                <c:pt idx="2">
                  <c:v>-32616.96714760294</c:v>
                </c:pt>
                <c:pt idx="3">
                  <c:v>-32155.227324682397</c:v>
                </c:pt>
                <c:pt idx="4">
                  <c:v>-31118.368248832478</c:v>
                </c:pt>
                <c:pt idx="5">
                  <c:v>-30967.515016390753</c:v>
                </c:pt>
                <c:pt idx="6">
                  <c:v>-31018.350551116258</c:v>
                </c:pt>
                <c:pt idx="7">
                  <c:v>-30841.62808160737</c:v>
                </c:pt>
                <c:pt idx="8">
                  <c:v>-31078.768571675875</c:v>
                </c:pt>
                <c:pt idx="9">
                  <c:v>-30650.85631843032</c:v>
                </c:pt>
                <c:pt idx="10">
                  <c:v>-30313.183520069753</c:v>
                </c:pt>
                <c:pt idx="11">
                  <c:v>-29934.3764387882</c:v>
                </c:pt>
              </c:numCache>
            </c:numRef>
          </c:val>
          <c:smooth val="0"/>
          <c:extLst>
            <c:ext xmlns:c16="http://schemas.microsoft.com/office/drawing/2014/chart" uri="{C3380CC4-5D6E-409C-BE32-E72D297353CC}">
              <c16:uniqueId val="{00000000-0C11-4D73-A18B-0670D8497176}"/>
            </c:ext>
          </c:extLst>
        </c:ser>
        <c:dLbls>
          <c:showLegendKey val="0"/>
          <c:showVal val="0"/>
          <c:showCatName val="0"/>
          <c:showSerName val="0"/>
          <c:showPercent val="0"/>
          <c:showBubbleSize val="0"/>
        </c:dLbls>
        <c:smooth val="0"/>
        <c:axId val="553998543"/>
        <c:axId val="554000463"/>
      </c:lineChart>
      <c:catAx>
        <c:axId val="553998543"/>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000463"/>
        <c:crosses val="autoZero"/>
        <c:auto val="1"/>
        <c:lblAlgn val="ctr"/>
        <c:lblOffset val="100"/>
        <c:noMultiLvlLbl val="0"/>
      </c:catAx>
      <c:valAx>
        <c:axId val="554000463"/>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99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6</xdr:col>
      <xdr:colOff>1347843</xdr:colOff>
      <xdr:row>40</xdr:row>
      <xdr:rowOff>30480</xdr:rowOff>
    </xdr:from>
    <xdr:to>
      <xdr:col>7</xdr:col>
      <xdr:colOff>1152413</xdr:colOff>
      <xdr:row>47</xdr:row>
      <xdr:rowOff>7620</xdr:rowOff>
    </xdr:to>
    <mc:AlternateContent xmlns:mc="http://schemas.openxmlformats.org/markup-compatibility/2006" xmlns:sle15="http://schemas.microsoft.com/office/drawing/2012/slicer">
      <mc:Choice Requires="sle15">
        <xdr:graphicFrame macro="">
          <xdr:nvGraphicFramePr>
            <xdr:cNvPr id="2" name="Year 1">
              <a:extLst>
                <a:ext uri="{FF2B5EF4-FFF2-40B4-BE49-F238E27FC236}">
                  <a16:creationId xmlns:a16="http://schemas.microsoft.com/office/drawing/2014/main" id="{D204484F-0EE7-4C53-BBB8-A5DC627927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97514" y="2899186"/>
              <a:ext cx="1830593" cy="12321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175260</xdr:colOff>
      <xdr:row>39</xdr:row>
      <xdr:rowOff>106680</xdr:rowOff>
    </xdr:from>
    <xdr:to>
      <xdr:col>6</xdr:col>
      <xdr:colOff>1066800</xdr:colOff>
      <xdr:row>50</xdr:row>
      <xdr:rowOff>30480</xdr:rowOff>
    </xdr:to>
    <xdr:graphicFrame macro="">
      <xdr:nvGraphicFramePr>
        <xdr:cNvPr id="3" name="Chart 2">
          <a:extLst>
            <a:ext uri="{FF2B5EF4-FFF2-40B4-BE49-F238E27FC236}">
              <a16:creationId xmlns:a16="http://schemas.microsoft.com/office/drawing/2014/main" id="{EDA34CD8-FF28-49F1-BAEE-65328A248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579120</xdr:colOff>
          <xdr:row>9</xdr:row>
          <xdr:rowOff>22860</xdr:rowOff>
        </xdr:from>
        <xdr:to>
          <xdr:col>5</xdr:col>
          <xdr:colOff>182880</xdr:colOff>
          <xdr:row>11</xdr:row>
          <xdr:rowOff>175260</xdr:rowOff>
        </xdr:to>
        <xdr:sp macro="" textlink="">
          <xdr:nvSpPr>
            <xdr:cNvPr id="3075" name="Button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Aptos Narrow"/>
                </a:rPr>
                <a:t>Reset Control Panel</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1179306</xdr:colOff>
      <xdr:row>17</xdr:row>
      <xdr:rowOff>107577</xdr:rowOff>
    </xdr:from>
    <xdr:to>
      <xdr:col>5</xdr:col>
      <xdr:colOff>1156446</xdr:colOff>
      <xdr:row>27</xdr:row>
      <xdr:rowOff>66339</xdr:rowOff>
    </xdr:to>
    <xdr:graphicFrame macro="">
      <xdr:nvGraphicFramePr>
        <xdr:cNvPr id="3" name="Chart 2">
          <a:extLst>
            <a:ext uri="{FF2B5EF4-FFF2-40B4-BE49-F238E27FC236}">
              <a16:creationId xmlns:a16="http://schemas.microsoft.com/office/drawing/2014/main" id="{290661D8-76F6-4C0E-9438-5DFCB514E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31377</xdr:colOff>
      <xdr:row>16</xdr:row>
      <xdr:rowOff>35859</xdr:rowOff>
    </xdr:from>
    <xdr:to>
      <xdr:col>8</xdr:col>
      <xdr:colOff>833717</xdr:colOff>
      <xdr:row>29</xdr:row>
      <xdr:rowOff>53789</xdr:rowOff>
    </xdr:to>
    <xdr:graphicFrame macro="">
      <xdr:nvGraphicFramePr>
        <xdr:cNvPr id="2" name="Chart 1">
          <a:extLst>
            <a:ext uri="{FF2B5EF4-FFF2-40B4-BE49-F238E27FC236}">
              <a16:creationId xmlns:a16="http://schemas.microsoft.com/office/drawing/2014/main" id="{6ADE6154-8E01-0FA6-EF5D-03F783114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0</xdr:col>
          <xdr:colOff>777240</xdr:colOff>
          <xdr:row>17</xdr:row>
          <xdr:rowOff>83820</xdr:rowOff>
        </xdr:from>
        <xdr:to>
          <xdr:col>2</xdr:col>
          <xdr:colOff>579120</xdr:colOff>
          <xdr:row>21</xdr:row>
          <xdr:rowOff>53340</xdr:rowOff>
        </xdr:to>
        <xdr:sp macro="" textlink="">
          <xdr:nvSpPr>
            <xdr:cNvPr id="5124" name="Button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Aptos Narrow"/>
                </a:rPr>
                <a:t>Resimulate</a:t>
              </a:r>
            </a:p>
            <a:p>
              <a:pPr algn="ctr" rtl="0">
                <a:defRPr sz="1000"/>
              </a:pPr>
              <a:endParaRPr lang="en-US" sz="1100" b="0" i="0" u="none" strike="noStrike" baseline="0">
                <a:solidFill>
                  <a:srgbClr val="000000"/>
                </a:solidFill>
                <a:latin typeface="Aptos Narrow"/>
              </a:endParaRPr>
            </a:p>
          </xdr:txBody>
        </xdr:sp>
        <xdr:clientData fPrintsWithSheet="0"/>
      </xdr:twoCellAnchor>
    </mc:Choice>
    <mc:Fallback/>
  </mc:AlternateContent>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647C53B-6138-4878-B003-00A294780DB5}" sourceName="Yea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EAEA8D1-2782-403A-8C24-8ED8DEC338EB}" cache="Slicer_Year1"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6CF7C-6E8E-4654-90FE-4C8C015646D0}" name="Table13" displayName="Table13" ref="A2:I39" totalsRowCount="1" headerRowDxfId="57" headerRowBorderDxfId="56" tableBorderDxfId="55" totalsRowBorderDxfId="54">
  <autoFilter ref="A2:I38" xr:uid="{A9C411C0-C92B-47BF-A701-3DE4447C3552}">
    <filterColumn colId="0">
      <filters>
        <filter val="2023"/>
      </filters>
    </filterColumn>
  </autoFilter>
  <tableColumns count="9">
    <tableColumn id="1" xr3:uid="{40ACBC58-526A-409E-B341-D8FC3FA52613}" name="Year" totalsRowLabel="Total" dataDxfId="53" totalsRowDxfId="52"/>
    <tableColumn id="2" xr3:uid="{958633C1-4838-4621-BE1A-A3955D2A10B0}" name="Month" totalsRowFunction="count" dataDxfId="51" totalsRowDxfId="50"/>
    <tableColumn id="10" xr3:uid="{02CBC378-785A-424F-9C48-577E10DEDD27}" name="Date" dataDxfId="49" totalsRowDxfId="48">
      <calculatedColumnFormula>DATE(A3, 1, 1)</calculatedColumnFormula>
    </tableColumn>
    <tableColumn id="3" xr3:uid="{BCC44694-C217-4A79-9741-926D5FDA1765}" name="Gross Pay" totalsRowFunction="sum" dataDxfId="47" totalsRowDxfId="46">
      <calculatedColumnFormula>RANDBETWEEN(F$1,H$1)</calculatedColumnFormula>
    </tableColumn>
    <tableColumn id="4" xr3:uid="{85643A41-F6D9-425A-B3F9-84D2A362A304}" name="Net Pay" totalsRowFunction="sum" dataDxfId="45" totalsRowDxfId="44">
      <calculatedColumnFormula>D3*(1 - B$1)</calculatedColumnFormula>
    </tableColumn>
    <tableColumn id="5" xr3:uid="{1A7C46E2-D5F7-4826-809E-2CA0AFCDDBB3}" name="Savings" totalsRowFunction="sum" dataDxfId="43" totalsRowDxfId="42">
      <calculatedColumnFormula>E3*D$1</calculatedColumnFormula>
    </tableColumn>
    <tableColumn id="6" xr3:uid="{F7B69B49-D330-41E4-9043-7A7C9BE136DD}" name="Monthly Expenses (Fixed Costs)" totalsRowFunction="sum" dataDxfId="41" totalsRowDxfId="40">
      <calculatedColumnFormula>_xlfn.NORM.INV(RAND(), J$1, J$1/3)</calculatedColumnFormula>
    </tableColumn>
    <tableColumn id="7" xr3:uid="{4FBA35B7-8953-426C-A24D-992AC94F63F9}" name="Disposable Income" totalsRowFunction="sum" dataDxfId="39" totalsRowDxfId="38">
      <calculatedColumnFormula>E3-F3-G3</calculatedColumnFormula>
    </tableColumn>
    <tableColumn id="8" xr3:uid="{3A8F31B1-91E8-49AB-93B2-0B970DFBA80C}" name="Within Budget?" totalsRowFunction="count" dataDxfId="37" totalsRowDxfId="36">
      <calculatedColumnFormula>IF(H3  &gt; 0, "Good", "Bad")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297DC-C11E-4F9C-99EC-015232F62F71}" name="Tax_data" displayName="Tax_data" ref="E2:G7" totalsRowShown="0" headerRowDxfId="35" dataDxfId="34" tableBorderDxfId="33">
  <autoFilter ref="E2:G7" xr:uid="{0ED297DC-C11E-4F9C-99EC-015232F62F71}"/>
  <tableColumns count="3">
    <tableColumn id="1" xr3:uid="{B1436E58-73BE-4E0A-9E67-AB484976FD75}" name="Salary (Annual)" dataDxfId="32" dataCellStyle="Currency"/>
    <tableColumn id="2" xr3:uid="{79D2EEE1-1A7E-4375-81ED-5DB99B623FCA}" name="Marginal Tax Rate " dataDxfId="31" dataCellStyle="Percent"/>
    <tableColumn id="3" xr3:uid="{566C3FBC-F7C2-4253-B41F-6786AF2AF7EB}" name="Rate Increase" dataDxfId="30" dataCellStyle="Percent"/>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69D37F-7139-40C2-B4F3-DDBF3774F042}" name="Table132" displayName="Table132" ref="A2:K15" totalsRowCount="1" headerRowDxfId="72" headerRowBorderDxfId="71" tableBorderDxfId="70" totalsRowBorderDxfId="69">
  <autoFilter ref="A2:K14" xr:uid="{A9C411C0-C92B-47BF-A701-3DE4447C3552}"/>
  <tableColumns count="11">
    <tableColumn id="1" xr3:uid="{8C8CCDDA-4FDD-43C1-B4E0-586A5746F6A0}" name="Year" totalsRowLabel="Total" dataDxfId="68" totalsRowDxfId="10"/>
    <tableColumn id="2" xr3:uid="{E3F898E9-00C5-421E-8DF1-849692E5B5A8}" name="Month" totalsRowFunction="count" dataDxfId="67" totalsRowDxfId="9"/>
    <tableColumn id="3" xr3:uid="{0C0766C9-1535-4DE5-AF4A-AC4680F62205}" name="Gross Pay" totalsRowFunction="sum" dataDxfId="66" totalsRowDxfId="8">
      <calculatedColumnFormula>$B$1</calculatedColumnFormula>
    </tableColumn>
    <tableColumn id="4" xr3:uid="{F62188E0-7969-4CA9-B390-6F3C67D7DBED}" name="Net Pay" totalsRowFunction="sum" dataDxfId="65" totalsRowDxfId="7">
      <calculatedColumnFormula>C3 - $D$1</calculatedColumnFormula>
    </tableColumn>
    <tableColumn id="5" xr3:uid="{5356FFF1-8AD2-477B-B4A0-8B464134B541}" name="Savings" totalsRowFunction="sum" dataDxfId="64" totalsRowDxfId="6">
      <calculatedColumnFormula>$J$1</calculatedColumnFormula>
    </tableColumn>
    <tableColumn id="6" xr3:uid="{9EC82BFC-F324-4315-BF11-33050992F79A}" name="Monthly Expenses (Fixed Costs)" totalsRowFunction="sum" dataDxfId="63" totalsRowDxfId="5">
      <calculatedColumnFormula>F$1</calculatedColumnFormula>
    </tableColumn>
    <tableColumn id="9" xr3:uid="{F8A6BE0E-8C3B-4122-9F48-E077150D21FA}" name="Monthly Variable Expenses" totalsRowFunction="sum" dataDxfId="62" totalsRowDxfId="4">
      <calculatedColumnFormula>_xlfn.NORM.INV(RAND(), H$1, H$1/3)</calculatedColumnFormula>
    </tableColumn>
    <tableColumn id="10" xr3:uid="{733CA24C-94D1-4034-A990-7A7BD335153C}" name="Total Expenses" totalsRowFunction="sum" dataDxfId="61" totalsRowDxfId="3">
      <calculatedColumnFormula>Table132[[#This Row],[Monthly Expenses (Fixed Costs)]]+Table132[[#This Row],[Monthly Variable Expenses]]</calculatedColumnFormula>
    </tableColumn>
    <tableColumn id="7" xr3:uid="{B0962FD6-6473-4DCD-81E6-E61C13E69529}" name="Disposable Income" totalsRowFunction="sum" dataDxfId="60" totalsRowDxfId="2">
      <calculatedColumnFormula>D3-E3-Table132[[#This Row],[Total Expenses]]</calculatedColumnFormula>
    </tableColumn>
    <tableColumn id="11" xr3:uid="{CD7EB090-E57A-428F-A0C0-BC6824FBD741}" name="Net Balance" totalsRowFunction="custom" dataDxfId="59" totalsRowDxfId="1">
      <totalsRowFormula>IF(Table132[[#Totals],[Disposable Income]] &gt; 0, "Positive", "Negative")</totalsRowFormula>
    </tableColumn>
    <tableColumn id="8" xr3:uid="{83DF6859-4B98-4BB9-A5A1-D4D7A9406A0F}" name="Within Budget?" totalsRowFunction="custom" dataDxfId="58" totalsRowDxfId="0">
      <calculatedColumnFormula>IF(I3  &gt; 0, "Good", "Bad")</calculatedColumnFormula>
      <totalsRowFormula>COUNTIF(Table132[Within Budget?], "Good")</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539C5A-C93B-451C-BF2F-97FA80AADF7F}" name="Table3" displayName="Table3" ref="A2:C7" totalsRowShown="0" tableBorderDxfId="29">
  <autoFilter ref="A2:C7" xr:uid="{7C539C5A-C93B-451C-BF2F-97FA80AADF7F}"/>
  <tableColumns count="3">
    <tableColumn id="1" xr3:uid="{140C2D9C-7497-4DA9-9D72-E7248E19BFDA}" name="Salary (Annual)" dataDxfId="28" dataCellStyle="Currency"/>
    <tableColumn id="2" xr3:uid="{F67960AA-1952-447D-877E-48297FC6DDC5}" name="Marginal Tax Rate " dataDxfId="27" dataCellStyle="Percent"/>
    <tableColumn id="3" xr3:uid="{27D42BFD-0123-47FD-A3E5-CBDEBB3F439B}" name="Rate Increase" dataDxfId="2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table" Target="../tables/table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F4F7-C9DA-4C38-898F-9625469573AA}">
  <dimension ref="A1:J22"/>
  <sheetViews>
    <sheetView workbookViewId="0">
      <selection activeCell="E1" sqref="E1:G1"/>
    </sheetView>
  </sheetViews>
  <sheetFormatPr defaultRowHeight="14.4" x14ac:dyDescent="0.3"/>
  <cols>
    <col min="1" max="1" width="25.5546875" bestFit="1" customWidth="1"/>
    <col min="2" max="2" width="14.44140625" bestFit="1" customWidth="1"/>
    <col min="3" max="3" width="23.6640625" bestFit="1" customWidth="1"/>
    <col min="4" max="4" width="10.44140625" bestFit="1" customWidth="1"/>
    <col min="5" max="5" width="19.88671875" bestFit="1" customWidth="1"/>
    <col min="6" max="6" width="10.21875" bestFit="1" customWidth="1"/>
    <col min="7" max="7" width="20.44140625" bestFit="1" customWidth="1"/>
    <col min="8" max="8" width="10.21875" bestFit="1" customWidth="1"/>
    <col min="9" max="9" width="23" bestFit="1" customWidth="1"/>
    <col min="10" max="10" width="10.21875" bestFit="1" customWidth="1"/>
  </cols>
  <sheetData>
    <row r="1" spans="1:10" ht="20.399999999999999" thickBot="1" x14ac:dyDescent="0.45">
      <c r="A1" s="82" t="s">
        <v>36</v>
      </c>
      <c r="B1" s="82"/>
      <c r="C1" s="82"/>
      <c r="E1" s="92"/>
      <c r="F1" s="90"/>
      <c r="G1" s="88"/>
    </row>
    <row r="2" spans="1:10" ht="15" thickTop="1" x14ac:dyDescent="0.3">
      <c r="A2" s="33"/>
      <c r="B2" s="33" t="s">
        <v>33</v>
      </c>
      <c r="C2" s="33" t="s">
        <v>32</v>
      </c>
      <c r="D2" s="20"/>
      <c r="E2" s="93"/>
      <c r="F2" s="91"/>
      <c r="G2" s="89"/>
      <c r="H2" s="21"/>
      <c r="I2" s="20"/>
      <c r="J2" s="21"/>
    </row>
    <row r="3" spans="1:10" x14ac:dyDescent="0.3">
      <c r="A3" s="33" t="s">
        <v>34</v>
      </c>
      <c r="B3" s="29">
        <v>0.12</v>
      </c>
      <c r="C3" s="31">
        <f>B3</f>
        <v>0.12</v>
      </c>
      <c r="D3" s="22"/>
    </row>
    <row r="4" spans="1:10" x14ac:dyDescent="0.3">
      <c r="A4" s="33" t="s">
        <v>35</v>
      </c>
      <c r="B4" s="29">
        <v>0.25</v>
      </c>
      <c r="C4" s="32">
        <f>B4</f>
        <v>0.25</v>
      </c>
      <c r="D4" s="22"/>
    </row>
    <row r="5" spans="1:10" x14ac:dyDescent="0.3">
      <c r="A5" s="33" t="s">
        <v>29</v>
      </c>
      <c r="B5" s="30">
        <v>3500</v>
      </c>
      <c r="C5" s="31">
        <f>B5</f>
        <v>3500</v>
      </c>
    </row>
    <row r="6" spans="1:10" x14ac:dyDescent="0.3">
      <c r="A6" s="33" t="s">
        <v>30</v>
      </c>
      <c r="B6" s="30">
        <v>4500</v>
      </c>
      <c r="C6" s="32">
        <f t="shared" ref="C6:C7" si="0">B6</f>
        <v>4500</v>
      </c>
    </row>
    <row r="7" spans="1:10" x14ac:dyDescent="0.3">
      <c r="A7" s="33" t="s">
        <v>31</v>
      </c>
      <c r="B7" s="30">
        <v>2500</v>
      </c>
      <c r="C7" s="31">
        <f t="shared" si="0"/>
        <v>2500</v>
      </c>
    </row>
    <row r="14" spans="1:10" x14ac:dyDescent="0.3">
      <c r="A14" s="24"/>
      <c r="B14" s="24"/>
      <c r="C14" s="24"/>
      <c r="D14" s="24"/>
      <c r="E14" s="24"/>
      <c r="F14" s="24"/>
      <c r="G14" s="24"/>
      <c r="H14" s="24"/>
      <c r="I14" s="24"/>
      <c r="J14" s="24"/>
    </row>
    <row r="15" spans="1:10" x14ac:dyDescent="0.3">
      <c r="A15" s="25"/>
      <c r="B15" s="25"/>
      <c r="C15" s="25"/>
      <c r="D15" s="25"/>
      <c r="E15" s="25"/>
      <c r="F15" s="25"/>
      <c r="G15" s="25"/>
      <c r="H15" s="25"/>
      <c r="I15" s="25"/>
      <c r="J15" s="25"/>
    </row>
    <row r="16" spans="1:10" x14ac:dyDescent="0.3">
      <c r="A16" s="26"/>
      <c r="B16" s="26"/>
      <c r="C16" s="26"/>
      <c r="D16" s="26"/>
      <c r="E16" s="26"/>
      <c r="F16" s="27"/>
      <c r="G16" s="26"/>
      <c r="H16" s="27"/>
      <c r="I16" s="26"/>
      <c r="J16" s="27"/>
    </row>
    <row r="17" spans="1:10" x14ac:dyDescent="0.3">
      <c r="A17" s="26"/>
      <c r="B17" s="26"/>
      <c r="C17" s="26"/>
      <c r="D17" s="28"/>
      <c r="E17" s="25"/>
      <c r="F17" s="25"/>
      <c r="G17" s="25"/>
      <c r="H17" s="25"/>
      <c r="I17" s="25"/>
      <c r="J17" s="25"/>
    </row>
    <row r="18" spans="1:10" x14ac:dyDescent="0.3">
      <c r="A18" s="26"/>
      <c r="B18" s="26"/>
      <c r="C18" s="26"/>
      <c r="D18" s="28"/>
      <c r="E18" s="25"/>
      <c r="F18" s="25"/>
      <c r="G18" s="25"/>
      <c r="H18" s="25"/>
      <c r="I18" s="25"/>
      <c r="J18" s="25"/>
    </row>
    <row r="19" spans="1:10" x14ac:dyDescent="0.3">
      <c r="A19" s="24"/>
      <c r="B19" s="24"/>
      <c r="C19" s="24"/>
      <c r="D19" s="24"/>
      <c r="E19" s="24"/>
      <c r="F19" s="24"/>
      <c r="G19" s="24"/>
      <c r="H19" s="24"/>
      <c r="I19" s="24"/>
      <c r="J19" s="24"/>
    </row>
    <row r="20" spans="1:10" x14ac:dyDescent="0.3">
      <c r="A20" s="24"/>
      <c r="B20" s="24"/>
      <c r="C20" s="24"/>
      <c r="D20" s="24"/>
      <c r="E20" s="24"/>
      <c r="F20" s="24"/>
      <c r="G20" s="24"/>
      <c r="H20" s="24"/>
      <c r="I20" s="24"/>
      <c r="J20" s="24"/>
    </row>
    <row r="21" spans="1:10" x14ac:dyDescent="0.3">
      <c r="A21" s="24"/>
      <c r="B21" s="24"/>
      <c r="C21" s="24"/>
      <c r="D21" s="24"/>
      <c r="E21" s="24"/>
      <c r="F21" s="24"/>
      <c r="G21" s="24"/>
      <c r="H21" s="24"/>
      <c r="I21" s="24"/>
      <c r="J21" s="24"/>
    </row>
    <row r="22" spans="1:10" x14ac:dyDescent="0.3">
      <c r="A22" s="24"/>
      <c r="B22" s="24"/>
      <c r="C22" s="24"/>
      <c r="D22" s="24"/>
      <c r="E22" s="24"/>
      <c r="F22" s="24"/>
      <c r="G22" s="24"/>
      <c r="H22" s="24"/>
      <c r="I22" s="24"/>
      <c r="J22" s="24"/>
    </row>
  </sheetData>
  <mergeCells count="1">
    <mergeCell ref="A1:C1"/>
  </mergeCells>
  <conditionalFormatting sqref="H2">
    <cfRule type="containsText" dxfId="25" priority="3" operator="containsText" text="Bad">
      <formula>NOT(ISERROR(SEARCH("Bad",H2)))</formula>
    </cfRule>
    <cfRule type="containsText" dxfId="24" priority="4" operator="containsText" text="Good">
      <formula>NOT(ISERROR(SEARCH("Good",H2)))</formula>
    </cfRule>
  </conditionalFormatting>
  <conditionalFormatting sqref="H16">
    <cfRule type="containsText" dxfId="23" priority="1" operator="containsText" text="Bad">
      <formula>NOT(ISERROR(SEARCH("Bad",H16)))</formula>
    </cfRule>
    <cfRule type="containsText" dxfId="22" priority="2" operator="containsText" text="Good">
      <formula>NOT(ISERROR(SEARCH("Good",H16)))</formula>
    </cfRule>
  </conditionalFormatting>
  <dataValidations count="2">
    <dataValidation type="decimal" allowBlank="1" showInputMessage="1" showErrorMessage="1" sqref="B3:B4" xr:uid="{5561FC8A-085A-4F21-A9C5-9106C5F510D4}">
      <formula1>0</formula1>
      <formula2>100</formula2>
    </dataValidation>
    <dataValidation type="decimal" operator="greaterThanOrEqual" allowBlank="1" showInputMessage="1" showErrorMessage="1" sqref="B5:B7" xr:uid="{E165C7C9-ACAA-4591-B88D-3671EA380CB6}">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BB4B7-B3CA-4B27-BE7B-356B46D5296F}">
  <dimension ref="A1:M41"/>
  <sheetViews>
    <sheetView zoomScale="85" zoomScaleNormal="85" workbookViewId="0">
      <pane ySplit="2" topLeftCell="A3" activePane="bottomLeft" state="frozen"/>
      <selection pane="bottomLeft" activeCell="A4" sqref="A4"/>
    </sheetView>
  </sheetViews>
  <sheetFormatPr defaultRowHeight="14.4" x14ac:dyDescent="0.3"/>
  <cols>
    <col min="1" max="1" width="15.44140625" bestFit="1" customWidth="1"/>
    <col min="2" max="2" width="10.21875" bestFit="1" customWidth="1"/>
    <col min="3" max="3" width="13.21875" bestFit="1" customWidth="1"/>
    <col min="4" max="4" width="21.21875" customWidth="1"/>
    <col min="5" max="5" width="19.88671875" bestFit="1" customWidth="1"/>
    <col min="6" max="6" width="28.77734375" customWidth="1"/>
    <col min="7" max="7" width="29.5546875" bestFit="1" customWidth="1"/>
    <col min="8" max="8" width="19.21875" customWidth="1"/>
    <col min="9" max="9" width="22.33203125" bestFit="1" customWidth="1"/>
    <col min="10" max="10" width="13.6640625" customWidth="1"/>
    <col min="11" max="12" width="9.6640625" bestFit="1" customWidth="1"/>
  </cols>
  <sheetData>
    <row r="1" spans="1:13" x14ac:dyDescent="0.3">
      <c r="A1" s="15" t="s">
        <v>25</v>
      </c>
      <c r="B1" s="23">
        <f>'Control Panel'!B3</f>
        <v>0.12</v>
      </c>
      <c r="C1" s="15" t="s">
        <v>24</v>
      </c>
      <c r="D1" s="23">
        <f>'Control Panel'!B4</f>
        <v>0.25</v>
      </c>
      <c r="E1" s="15" t="s">
        <v>26</v>
      </c>
      <c r="F1" s="17">
        <f>'Control Panel'!B5</f>
        <v>3500</v>
      </c>
      <c r="G1" s="15" t="s">
        <v>27</v>
      </c>
      <c r="H1" s="17">
        <f>'Control Panel'!B6</f>
        <v>4500</v>
      </c>
      <c r="I1" s="15" t="s">
        <v>28</v>
      </c>
      <c r="J1" s="17">
        <f>'Control Panel'!B7</f>
        <v>2500</v>
      </c>
    </row>
    <row r="2" spans="1:13" x14ac:dyDescent="0.3">
      <c r="A2" s="2" t="s">
        <v>18</v>
      </c>
      <c r="B2" s="3" t="s">
        <v>23</v>
      </c>
      <c r="C2" s="3" t="s">
        <v>1</v>
      </c>
      <c r="D2" s="3" t="s">
        <v>14</v>
      </c>
      <c r="E2" s="3" t="s">
        <v>15</v>
      </c>
      <c r="F2" s="3" t="s">
        <v>0</v>
      </c>
      <c r="G2" s="3" t="s">
        <v>17</v>
      </c>
      <c r="H2" s="3" t="s">
        <v>16</v>
      </c>
      <c r="I2" s="4" t="s">
        <v>19</v>
      </c>
    </row>
    <row r="3" spans="1:13" x14ac:dyDescent="0.3">
      <c r="A3" s="5">
        <v>2023</v>
      </c>
      <c r="B3" s="6" t="s">
        <v>2</v>
      </c>
      <c r="C3" s="19">
        <f>DATE(A3, 1, 1)</f>
        <v>44927</v>
      </c>
      <c r="D3" s="7">
        <f ca="1">RANDBETWEEN(F$1,H$1)</f>
        <v>4140</v>
      </c>
      <c r="E3" s="7">
        <f t="shared" ref="E3:E38" ca="1" si="0">D3*(1 - B$1)</f>
        <v>3643.2</v>
      </c>
      <c r="F3" s="7">
        <f t="shared" ref="F3:F38" ca="1" si="1">E3*D$1</f>
        <v>910.8</v>
      </c>
      <c r="G3" s="7">
        <f ca="1">_xlfn.NORM.INV(RAND(), J$1, J$1/3)</f>
        <v>3327.5548436010504</v>
      </c>
      <c r="H3" s="7">
        <f ca="1">E3-F3-G3</f>
        <v>-595.15484360105074</v>
      </c>
      <c r="I3" s="8" t="str">
        <f t="shared" ref="I3:I38" ca="1" si="2">IF(H3  &gt; 0, "Good", "Bad")</f>
        <v>Bad</v>
      </c>
    </row>
    <row r="4" spans="1:13" x14ac:dyDescent="0.3">
      <c r="A4" s="5">
        <v>2023</v>
      </c>
      <c r="B4" s="6" t="s">
        <v>3</v>
      </c>
      <c r="C4" s="19">
        <f>EDATE(C3, 1)</f>
        <v>44958</v>
      </c>
      <c r="D4" s="7">
        <f t="shared" ref="D4:D38" ca="1" si="3">RANDBETWEEN(F$1,H$1)</f>
        <v>3983</v>
      </c>
      <c r="E4" s="7">
        <f t="shared" ca="1" si="0"/>
        <v>3505.04</v>
      </c>
      <c r="F4" s="7">
        <f t="shared" ca="1" si="1"/>
        <v>876.26</v>
      </c>
      <c r="G4" s="7">
        <f t="shared" ref="G4:G38" ca="1" si="4">_xlfn.NORM.INV(RAND(), J$1, J$1/3)</f>
        <v>3018.9146621959799</v>
      </c>
      <c r="H4" s="7">
        <f t="shared" ref="H4:H26" ca="1" si="5">E4-F4-G4</f>
        <v>-390.13466219598013</v>
      </c>
      <c r="I4" s="8" t="str">
        <f t="shared" ca="1" si="2"/>
        <v>Bad</v>
      </c>
    </row>
    <row r="5" spans="1:13" x14ac:dyDescent="0.3">
      <c r="A5" s="5">
        <v>2023</v>
      </c>
      <c r="B5" s="6" t="s">
        <v>4</v>
      </c>
      <c r="C5" s="19">
        <f t="shared" ref="C5:C38" si="6">EDATE(C4, 1)</f>
        <v>44986</v>
      </c>
      <c r="D5" s="7">
        <f t="shared" ca="1" si="3"/>
        <v>4174</v>
      </c>
      <c r="E5" s="7">
        <f t="shared" ca="1" si="0"/>
        <v>3673.12</v>
      </c>
      <c r="F5" s="7">
        <f t="shared" ca="1" si="1"/>
        <v>918.28</v>
      </c>
      <c r="G5" s="7">
        <f t="shared" ca="1" si="4"/>
        <v>3551.2458448105067</v>
      </c>
      <c r="H5" s="7">
        <f t="shared" ca="1" si="5"/>
        <v>-796.40584481050655</v>
      </c>
      <c r="I5" s="8" t="str">
        <f t="shared" ca="1" si="2"/>
        <v>Bad</v>
      </c>
    </row>
    <row r="6" spans="1:13" x14ac:dyDescent="0.3">
      <c r="A6" s="5">
        <v>2023</v>
      </c>
      <c r="B6" s="6" t="s">
        <v>5</v>
      </c>
      <c r="C6" s="19">
        <f t="shared" si="6"/>
        <v>45017</v>
      </c>
      <c r="D6" s="7">
        <f t="shared" ca="1" si="3"/>
        <v>3678</v>
      </c>
      <c r="E6" s="7">
        <f t="shared" ca="1" si="0"/>
        <v>3236.64</v>
      </c>
      <c r="F6" s="7">
        <f t="shared" ca="1" si="1"/>
        <v>809.16</v>
      </c>
      <c r="G6" s="7">
        <f t="shared" ca="1" si="4"/>
        <v>2800.2840015346683</v>
      </c>
      <c r="H6" s="7">
        <f t="shared" ca="1" si="5"/>
        <v>-372.80400153466826</v>
      </c>
      <c r="I6" s="8" t="str">
        <f t="shared" ca="1" si="2"/>
        <v>Bad</v>
      </c>
    </row>
    <row r="7" spans="1:13" x14ac:dyDescent="0.3">
      <c r="A7" s="5">
        <v>2023</v>
      </c>
      <c r="B7" s="6" t="s">
        <v>6</v>
      </c>
      <c r="C7" s="19">
        <f t="shared" si="6"/>
        <v>45047</v>
      </c>
      <c r="D7" s="7">
        <f t="shared" ca="1" si="3"/>
        <v>4350</v>
      </c>
      <c r="E7" s="7">
        <f t="shared" ca="1" si="0"/>
        <v>3828</v>
      </c>
      <c r="F7" s="7">
        <f t="shared" ca="1" si="1"/>
        <v>957</v>
      </c>
      <c r="G7" s="7">
        <f t="shared" ca="1" si="4"/>
        <v>2217.2832277795615</v>
      </c>
      <c r="H7" s="7">
        <f t="shared" ca="1" si="5"/>
        <v>653.71677222043854</v>
      </c>
      <c r="I7" s="8" t="str">
        <f t="shared" ca="1" si="2"/>
        <v>Good</v>
      </c>
    </row>
    <row r="8" spans="1:13" x14ac:dyDescent="0.3">
      <c r="A8" s="5">
        <v>2023</v>
      </c>
      <c r="B8" s="6" t="s">
        <v>7</v>
      </c>
      <c r="C8" s="19">
        <f t="shared" si="6"/>
        <v>45078</v>
      </c>
      <c r="D8" s="7">
        <f t="shared" ca="1" si="3"/>
        <v>3794</v>
      </c>
      <c r="E8" s="7">
        <f t="shared" ca="1" si="0"/>
        <v>3338.72</v>
      </c>
      <c r="F8" s="7">
        <f t="shared" ca="1" si="1"/>
        <v>834.68</v>
      </c>
      <c r="G8" s="7">
        <f t="shared" ca="1" si="4"/>
        <v>1923.0871067745959</v>
      </c>
      <c r="H8" s="7">
        <f t="shared" ca="1" si="5"/>
        <v>580.95289322540407</v>
      </c>
      <c r="I8" s="8" t="str">
        <f t="shared" ca="1" si="2"/>
        <v>Good</v>
      </c>
      <c r="L8" s="1"/>
    </row>
    <row r="9" spans="1:13" x14ac:dyDescent="0.3">
      <c r="A9" s="5">
        <v>2023</v>
      </c>
      <c r="B9" s="6" t="s">
        <v>8</v>
      </c>
      <c r="C9" s="19">
        <f t="shared" si="6"/>
        <v>45108</v>
      </c>
      <c r="D9" s="7">
        <f t="shared" ca="1" si="3"/>
        <v>4084</v>
      </c>
      <c r="E9" s="7">
        <f t="shared" ca="1" si="0"/>
        <v>3593.92</v>
      </c>
      <c r="F9" s="7">
        <f t="shared" ca="1" si="1"/>
        <v>898.48</v>
      </c>
      <c r="G9" s="7">
        <f t="shared" ca="1" si="4"/>
        <v>2652.9182086121373</v>
      </c>
      <c r="H9" s="7">
        <f t="shared" ca="1" si="5"/>
        <v>42.521791387862777</v>
      </c>
      <c r="I9" s="8" t="str">
        <f t="shared" ca="1" si="2"/>
        <v>Good</v>
      </c>
      <c r="L9" s="1"/>
    </row>
    <row r="10" spans="1:13" x14ac:dyDescent="0.3">
      <c r="A10" s="5">
        <v>2023</v>
      </c>
      <c r="B10" s="6" t="s">
        <v>9</v>
      </c>
      <c r="C10" s="19">
        <f t="shared" si="6"/>
        <v>45139</v>
      </c>
      <c r="D10" s="7">
        <f t="shared" ca="1" si="3"/>
        <v>3996</v>
      </c>
      <c r="E10" s="7">
        <f t="shared" ca="1" si="0"/>
        <v>3516.48</v>
      </c>
      <c r="F10" s="7">
        <f t="shared" ca="1" si="1"/>
        <v>879.12</v>
      </c>
      <c r="G10" s="7">
        <f t="shared" ca="1" si="4"/>
        <v>3694.7381446874915</v>
      </c>
      <c r="H10" s="7">
        <f t="shared" ca="1" si="5"/>
        <v>-1057.3781446874914</v>
      </c>
      <c r="I10" s="8" t="str">
        <f t="shared" ca="1" si="2"/>
        <v>Bad</v>
      </c>
      <c r="J10" s="1"/>
      <c r="M10" s="1"/>
    </row>
    <row r="11" spans="1:13" x14ac:dyDescent="0.3">
      <c r="A11" s="5">
        <v>2023</v>
      </c>
      <c r="B11" s="6" t="s">
        <v>10</v>
      </c>
      <c r="C11" s="19">
        <f t="shared" si="6"/>
        <v>45170</v>
      </c>
      <c r="D11" s="7">
        <f t="shared" ca="1" si="3"/>
        <v>4408</v>
      </c>
      <c r="E11" s="7">
        <f t="shared" ca="1" si="0"/>
        <v>3879.04</v>
      </c>
      <c r="F11" s="7">
        <f t="shared" ca="1" si="1"/>
        <v>969.76</v>
      </c>
      <c r="G11" s="7">
        <f t="shared" ca="1" si="4"/>
        <v>1200.0732989302401</v>
      </c>
      <c r="H11" s="7">
        <f t="shared" ca="1" si="5"/>
        <v>1709.2067010697597</v>
      </c>
      <c r="I11" s="8" t="str">
        <f t="shared" ca="1" si="2"/>
        <v>Good</v>
      </c>
      <c r="J11" s="1"/>
      <c r="M11" s="1"/>
    </row>
    <row r="12" spans="1:13" x14ac:dyDescent="0.3">
      <c r="A12" s="5">
        <v>2023</v>
      </c>
      <c r="B12" s="6" t="s">
        <v>11</v>
      </c>
      <c r="C12" s="19">
        <f t="shared" si="6"/>
        <v>45200</v>
      </c>
      <c r="D12" s="7">
        <f t="shared" ca="1" si="3"/>
        <v>4314</v>
      </c>
      <c r="E12" s="7">
        <f t="shared" ca="1" si="0"/>
        <v>3796.32</v>
      </c>
      <c r="F12" s="7">
        <f t="shared" ca="1" si="1"/>
        <v>949.08</v>
      </c>
      <c r="G12" s="7">
        <f t="shared" ca="1" si="4"/>
        <v>2615.7049250812947</v>
      </c>
      <c r="H12" s="7">
        <f t="shared" ca="1" si="5"/>
        <v>231.5350749187055</v>
      </c>
      <c r="I12" s="8" t="str">
        <f t="shared" ca="1" si="2"/>
        <v>Good</v>
      </c>
      <c r="J12" s="1"/>
    </row>
    <row r="13" spans="1:13" x14ac:dyDescent="0.3">
      <c r="A13" s="5">
        <v>2023</v>
      </c>
      <c r="B13" s="6" t="s">
        <v>12</v>
      </c>
      <c r="C13" s="19">
        <f t="shared" si="6"/>
        <v>45231</v>
      </c>
      <c r="D13" s="7">
        <f t="shared" ca="1" si="3"/>
        <v>4490</v>
      </c>
      <c r="E13" s="7">
        <f t="shared" ca="1" si="0"/>
        <v>3951.2</v>
      </c>
      <c r="F13" s="7">
        <f t="shared" ca="1" si="1"/>
        <v>987.8</v>
      </c>
      <c r="G13" s="7">
        <f t="shared" ca="1" si="4"/>
        <v>1763.5579873760107</v>
      </c>
      <c r="H13" s="7">
        <f t="shared" ca="1" si="5"/>
        <v>1199.8420126239889</v>
      </c>
      <c r="I13" s="8" t="str">
        <f t="shared" ca="1" si="2"/>
        <v>Good</v>
      </c>
      <c r="J13" s="1"/>
    </row>
    <row r="14" spans="1:13" x14ac:dyDescent="0.3">
      <c r="A14" s="5">
        <v>2023</v>
      </c>
      <c r="B14" s="6" t="s">
        <v>13</v>
      </c>
      <c r="C14" s="19">
        <f t="shared" si="6"/>
        <v>45261</v>
      </c>
      <c r="D14" s="7">
        <f t="shared" ca="1" si="3"/>
        <v>4367</v>
      </c>
      <c r="E14" s="7">
        <f t="shared" ca="1" si="0"/>
        <v>3842.96</v>
      </c>
      <c r="F14" s="7">
        <f t="shared" ca="1" si="1"/>
        <v>960.74</v>
      </c>
      <c r="G14" s="7">
        <f t="shared" ca="1" si="4"/>
        <v>1445.4671125628045</v>
      </c>
      <c r="H14" s="7">
        <f t="shared" ca="1" si="5"/>
        <v>1436.7528874371958</v>
      </c>
      <c r="I14" s="8" t="str">
        <f t="shared" ca="1" si="2"/>
        <v>Good</v>
      </c>
      <c r="J14" s="1"/>
    </row>
    <row r="15" spans="1:13" hidden="1" x14ac:dyDescent="0.3">
      <c r="A15" s="5">
        <v>2024</v>
      </c>
      <c r="B15" s="6" t="s">
        <v>2</v>
      </c>
      <c r="C15" s="19">
        <f t="shared" si="6"/>
        <v>45292</v>
      </c>
      <c r="D15" s="7">
        <f t="shared" ca="1" si="3"/>
        <v>3808</v>
      </c>
      <c r="E15" s="7">
        <f t="shared" ca="1" si="0"/>
        <v>3351.04</v>
      </c>
      <c r="F15" s="7">
        <f t="shared" ca="1" si="1"/>
        <v>837.76</v>
      </c>
      <c r="G15" s="7">
        <f t="shared" ca="1" si="4"/>
        <v>4060.1254054472884</v>
      </c>
      <c r="H15" s="7">
        <f t="shared" ca="1" si="5"/>
        <v>-1546.8454054472886</v>
      </c>
      <c r="I15" s="8" t="str">
        <f t="shared" ca="1" si="2"/>
        <v>Bad</v>
      </c>
      <c r="J15" s="1"/>
    </row>
    <row r="16" spans="1:13" hidden="1" x14ac:dyDescent="0.3">
      <c r="A16" s="5">
        <v>2024</v>
      </c>
      <c r="B16" s="6" t="s">
        <v>3</v>
      </c>
      <c r="C16" s="19">
        <f t="shared" si="6"/>
        <v>45323</v>
      </c>
      <c r="D16" s="7">
        <f t="shared" ca="1" si="3"/>
        <v>4355</v>
      </c>
      <c r="E16" s="7">
        <f t="shared" ca="1" si="0"/>
        <v>3832.4</v>
      </c>
      <c r="F16" s="7">
        <f t="shared" ca="1" si="1"/>
        <v>958.1</v>
      </c>
      <c r="G16" s="7">
        <f t="shared" ca="1" si="4"/>
        <v>2639.1283341364224</v>
      </c>
      <c r="H16" s="7">
        <f t="shared" ca="1" si="5"/>
        <v>235.1716658635778</v>
      </c>
      <c r="I16" s="8" t="str">
        <f t="shared" ca="1" si="2"/>
        <v>Good</v>
      </c>
      <c r="J16" s="1"/>
    </row>
    <row r="17" spans="1:13" hidden="1" x14ac:dyDescent="0.3">
      <c r="A17" s="5">
        <v>2024</v>
      </c>
      <c r="B17" s="6" t="s">
        <v>4</v>
      </c>
      <c r="C17" s="19">
        <f t="shared" si="6"/>
        <v>45352</v>
      </c>
      <c r="D17" s="7">
        <f t="shared" ca="1" si="3"/>
        <v>3831</v>
      </c>
      <c r="E17" s="7">
        <f t="shared" ca="1" si="0"/>
        <v>3371.28</v>
      </c>
      <c r="F17" s="7">
        <f t="shared" ca="1" si="1"/>
        <v>842.82</v>
      </c>
      <c r="G17" s="7">
        <f t="shared" ca="1" si="4"/>
        <v>793.25751649591098</v>
      </c>
      <c r="H17" s="7">
        <f t="shared" ca="1" si="5"/>
        <v>1735.2024835040891</v>
      </c>
      <c r="I17" s="8" t="str">
        <f t="shared" ca="1" si="2"/>
        <v>Good</v>
      </c>
      <c r="J17" s="1"/>
    </row>
    <row r="18" spans="1:13" hidden="1" x14ac:dyDescent="0.3">
      <c r="A18" s="5">
        <v>2024</v>
      </c>
      <c r="B18" s="6" t="s">
        <v>5</v>
      </c>
      <c r="C18" s="19">
        <f t="shared" si="6"/>
        <v>45383</v>
      </c>
      <c r="D18" s="7">
        <f t="shared" ca="1" si="3"/>
        <v>3542</v>
      </c>
      <c r="E18" s="7">
        <f t="shared" ca="1" si="0"/>
        <v>3116.96</v>
      </c>
      <c r="F18" s="7">
        <f t="shared" ca="1" si="1"/>
        <v>779.24</v>
      </c>
      <c r="G18" s="7">
        <f t="shared" ca="1" si="4"/>
        <v>4418.9353226990188</v>
      </c>
      <c r="H18" s="7">
        <f t="shared" ca="1" si="5"/>
        <v>-2081.2153226990185</v>
      </c>
      <c r="I18" s="8" t="str">
        <f t="shared" ca="1" si="2"/>
        <v>Bad</v>
      </c>
      <c r="J18" s="1"/>
    </row>
    <row r="19" spans="1:13" hidden="1" x14ac:dyDescent="0.3">
      <c r="A19" s="5">
        <v>2024</v>
      </c>
      <c r="B19" s="6" t="s">
        <v>6</v>
      </c>
      <c r="C19" s="19">
        <f t="shared" si="6"/>
        <v>45413</v>
      </c>
      <c r="D19" s="7">
        <f t="shared" ca="1" si="3"/>
        <v>4044</v>
      </c>
      <c r="E19" s="7">
        <f t="shared" ca="1" si="0"/>
        <v>3558.72</v>
      </c>
      <c r="F19" s="7">
        <f t="shared" ca="1" si="1"/>
        <v>889.68</v>
      </c>
      <c r="G19" s="7">
        <f t="shared" ca="1" si="4"/>
        <v>2038.4289985867772</v>
      </c>
      <c r="H19" s="7">
        <f t="shared" ca="1" si="5"/>
        <v>630.61100141322277</v>
      </c>
      <c r="I19" s="8" t="str">
        <f t="shared" ca="1" si="2"/>
        <v>Good</v>
      </c>
      <c r="J19" s="1"/>
    </row>
    <row r="20" spans="1:13" hidden="1" x14ac:dyDescent="0.3">
      <c r="A20" s="5">
        <v>2024</v>
      </c>
      <c r="B20" s="6" t="s">
        <v>7</v>
      </c>
      <c r="C20" s="19">
        <f t="shared" si="6"/>
        <v>45444</v>
      </c>
      <c r="D20" s="7">
        <f t="shared" ca="1" si="3"/>
        <v>3740</v>
      </c>
      <c r="E20" s="7">
        <f t="shared" ca="1" si="0"/>
        <v>3291.2</v>
      </c>
      <c r="F20" s="7">
        <f t="shared" ca="1" si="1"/>
        <v>822.8</v>
      </c>
      <c r="G20" s="7">
        <f t="shared" ca="1" si="4"/>
        <v>2493.8880264990048</v>
      </c>
      <c r="H20" s="7">
        <f t="shared" ca="1" si="5"/>
        <v>-25.488026499005173</v>
      </c>
      <c r="I20" s="8" t="str">
        <f t="shared" ca="1" si="2"/>
        <v>Bad</v>
      </c>
      <c r="J20" s="1"/>
    </row>
    <row r="21" spans="1:13" hidden="1" x14ac:dyDescent="0.3">
      <c r="A21" s="5">
        <v>2024</v>
      </c>
      <c r="B21" s="6" t="s">
        <v>8</v>
      </c>
      <c r="C21" s="19">
        <f t="shared" si="6"/>
        <v>45474</v>
      </c>
      <c r="D21" s="7">
        <f t="shared" ca="1" si="3"/>
        <v>4355</v>
      </c>
      <c r="E21" s="7">
        <f t="shared" ca="1" si="0"/>
        <v>3832.4</v>
      </c>
      <c r="F21" s="7">
        <f t="shared" ca="1" si="1"/>
        <v>958.1</v>
      </c>
      <c r="G21" s="7">
        <f t="shared" ca="1" si="4"/>
        <v>3373.4459033150079</v>
      </c>
      <c r="H21" s="7">
        <f t="shared" ca="1" si="5"/>
        <v>-499.14590331500767</v>
      </c>
      <c r="I21" s="8" t="str">
        <f t="shared" ca="1" si="2"/>
        <v>Bad</v>
      </c>
      <c r="J21" s="1"/>
      <c r="M21" s="12"/>
    </row>
    <row r="22" spans="1:13" hidden="1" x14ac:dyDescent="0.3">
      <c r="A22" s="5">
        <v>2024</v>
      </c>
      <c r="B22" s="6" t="s">
        <v>9</v>
      </c>
      <c r="C22" s="19">
        <f t="shared" si="6"/>
        <v>45505</v>
      </c>
      <c r="D22" s="7">
        <f t="shared" ca="1" si="3"/>
        <v>3773</v>
      </c>
      <c r="E22" s="7">
        <f t="shared" ca="1" si="0"/>
        <v>3320.2400000000002</v>
      </c>
      <c r="F22" s="7">
        <f t="shared" ca="1" si="1"/>
        <v>830.06000000000006</v>
      </c>
      <c r="G22" s="7">
        <f t="shared" ca="1" si="4"/>
        <v>2981.6631415646198</v>
      </c>
      <c r="H22" s="7">
        <f t="shared" ca="1" si="5"/>
        <v>-491.48314156461947</v>
      </c>
      <c r="I22" s="8" t="str">
        <f t="shared" ca="1" si="2"/>
        <v>Bad</v>
      </c>
      <c r="J22" s="1"/>
    </row>
    <row r="23" spans="1:13" hidden="1" x14ac:dyDescent="0.3">
      <c r="A23" s="5">
        <v>2024</v>
      </c>
      <c r="B23" s="6" t="s">
        <v>10</v>
      </c>
      <c r="C23" s="19">
        <f t="shared" si="6"/>
        <v>45536</v>
      </c>
      <c r="D23" s="7">
        <f t="shared" ca="1" si="3"/>
        <v>3550</v>
      </c>
      <c r="E23" s="7">
        <f t="shared" ca="1" si="0"/>
        <v>3124</v>
      </c>
      <c r="F23" s="7">
        <f t="shared" ca="1" si="1"/>
        <v>781</v>
      </c>
      <c r="G23" s="7">
        <f t="shared" ca="1" si="4"/>
        <v>1991.1397324600957</v>
      </c>
      <c r="H23" s="7">
        <f t="shared" ca="1" si="5"/>
        <v>351.86026753990427</v>
      </c>
      <c r="I23" s="8" t="str">
        <f t="shared" ca="1" si="2"/>
        <v>Good</v>
      </c>
      <c r="J23" s="1"/>
    </row>
    <row r="24" spans="1:13" hidden="1" x14ac:dyDescent="0.3">
      <c r="A24" s="5">
        <v>2024</v>
      </c>
      <c r="B24" s="6" t="s">
        <v>11</v>
      </c>
      <c r="C24" s="19">
        <f t="shared" si="6"/>
        <v>45566</v>
      </c>
      <c r="D24" s="7">
        <f t="shared" ca="1" si="3"/>
        <v>4431</v>
      </c>
      <c r="E24" s="7">
        <f t="shared" ca="1" si="0"/>
        <v>3899.28</v>
      </c>
      <c r="F24" s="7">
        <f t="shared" ca="1" si="1"/>
        <v>974.82</v>
      </c>
      <c r="G24" s="7">
        <f t="shared" ca="1" si="4"/>
        <v>3319.1375212095918</v>
      </c>
      <c r="H24" s="7">
        <f t="shared" ca="1" si="5"/>
        <v>-394.67752120959176</v>
      </c>
      <c r="I24" s="8" t="str">
        <f t="shared" ca="1" si="2"/>
        <v>Bad</v>
      </c>
      <c r="J24" s="1"/>
    </row>
    <row r="25" spans="1:13" hidden="1" x14ac:dyDescent="0.3">
      <c r="A25" s="5">
        <v>2024</v>
      </c>
      <c r="B25" s="6" t="s">
        <v>12</v>
      </c>
      <c r="C25" s="19">
        <f t="shared" si="6"/>
        <v>45597</v>
      </c>
      <c r="D25" s="7">
        <f t="shared" ca="1" si="3"/>
        <v>3877</v>
      </c>
      <c r="E25" s="7">
        <f t="shared" ca="1" si="0"/>
        <v>3411.76</v>
      </c>
      <c r="F25" s="7">
        <f t="shared" ca="1" si="1"/>
        <v>852.94</v>
      </c>
      <c r="G25" s="7">
        <f t="shared" ca="1" si="4"/>
        <v>1845.7646104395835</v>
      </c>
      <c r="H25" s="7">
        <f t="shared" ca="1" si="5"/>
        <v>713.05538956041664</v>
      </c>
      <c r="I25" s="8" t="str">
        <f t="shared" ca="1" si="2"/>
        <v>Good</v>
      </c>
      <c r="J25" s="1"/>
    </row>
    <row r="26" spans="1:13" hidden="1" x14ac:dyDescent="0.3">
      <c r="A26" s="9">
        <v>2024</v>
      </c>
      <c r="B26" s="10" t="s">
        <v>13</v>
      </c>
      <c r="C26" s="19">
        <f t="shared" si="6"/>
        <v>45627</v>
      </c>
      <c r="D26" s="7">
        <f t="shared" ca="1" si="3"/>
        <v>4111</v>
      </c>
      <c r="E26" s="11">
        <f t="shared" ca="1" si="0"/>
        <v>3617.68</v>
      </c>
      <c r="F26" s="11">
        <f t="shared" ca="1" si="1"/>
        <v>904.42</v>
      </c>
      <c r="G26" s="7">
        <f t="shared" ca="1" si="4"/>
        <v>3741.8978076279891</v>
      </c>
      <c r="H26" s="11">
        <f t="shared" ca="1" si="5"/>
        <v>-1028.6378076279893</v>
      </c>
      <c r="I26" s="8" t="str">
        <f t="shared" ca="1" si="2"/>
        <v>Bad</v>
      </c>
      <c r="J26" s="1"/>
    </row>
    <row r="27" spans="1:13" hidden="1" x14ac:dyDescent="0.3">
      <c r="A27" s="5">
        <v>2025</v>
      </c>
      <c r="B27" s="6" t="s">
        <v>2</v>
      </c>
      <c r="C27" s="19">
        <f t="shared" si="6"/>
        <v>45658</v>
      </c>
      <c r="D27" s="7">
        <f t="shared" ca="1" si="3"/>
        <v>3949</v>
      </c>
      <c r="E27" s="7">
        <f t="shared" ca="1" si="0"/>
        <v>3475.12</v>
      </c>
      <c r="F27" s="7">
        <f t="shared" ca="1" si="1"/>
        <v>868.78</v>
      </c>
      <c r="G27" s="7">
        <f t="shared" ca="1" si="4"/>
        <v>2736.9037114061307</v>
      </c>
      <c r="H27" s="7">
        <f ca="1">E27-F27-G27</f>
        <v>-130.56371140613055</v>
      </c>
      <c r="I27" s="8" t="str">
        <f t="shared" ca="1" si="2"/>
        <v>Bad</v>
      </c>
    </row>
    <row r="28" spans="1:13" hidden="1" x14ac:dyDescent="0.3">
      <c r="A28" s="5">
        <v>2025</v>
      </c>
      <c r="B28" s="6" t="s">
        <v>3</v>
      </c>
      <c r="C28" s="19">
        <f t="shared" si="6"/>
        <v>45689</v>
      </c>
      <c r="D28" s="7">
        <f t="shared" ca="1" si="3"/>
        <v>4407</v>
      </c>
      <c r="E28" s="7">
        <f t="shared" ca="1" si="0"/>
        <v>3878.16</v>
      </c>
      <c r="F28" s="7">
        <f t="shared" ca="1" si="1"/>
        <v>969.54</v>
      </c>
      <c r="G28" s="7">
        <f t="shared" ca="1" si="4"/>
        <v>1925.2657574056957</v>
      </c>
      <c r="H28" s="7">
        <f ca="1">E28-F28-G28</f>
        <v>983.3542425943042</v>
      </c>
      <c r="I28" s="8" t="str">
        <f t="shared" ca="1" si="2"/>
        <v>Good</v>
      </c>
    </row>
    <row r="29" spans="1:13" hidden="1" x14ac:dyDescent="0.3">
      <c r="A29" s="5">
        <v>2025</v>
      </c>
      <c r="B29" s="6" t="s">
        <v>4</v>
      </c>
      <c r="C29" s="19">
        <f t="shared" si="6"/>
        <v>45717</v>
      </c>
      <c r="D29" s="7">
        <f t="shared" ca="1" si="3"/>
        <v>3870</v>
      </c>
      <c r="E29" s="7">
        <f t="shared" ca="1" si="0"/>
        <v>3405.6</v>
      </c>
      <c r="F29" s="7">
        <f t="shared" ca="1" si="1"/>
        <v>851.4</v>
      </c>
      <c r="G29" s="7">
        <f t="shared" ca="1" si="4"/>
        <v>2750.393690203382</v>
      </c>
      <c r="H29" s="7">
        <f ca="1">E29-F29-G29</f>
        <v>-196.19369020338218</v>
      </c>
      <c r="I29" s="8" t="str">
        <f t="shared" ca="1" si="2"/>
        <v>Bad</v>
      </c>
    </row>
    <row r="30" spans="1:13" hidden="1" x14ac:dyDescent="0.3">
      <c r="A30" s="5">
        <v>2025</v>
      </c>
      <c r="B30" s="6" t="s">
        <v>5</v>
      </c>
      <c r="C30" s="19">
        <f t="shared" si="6"/>
        <v>45748</v>
      </c>
      <c r="D30" s="7">
        <f t="shared" ca="1" si="3"/>
        <v>4332</v>
      </c>
      <c r="E30" s="7">
        <f t="shared" ca="1" si="0"/>
        <v>3812.16</v>
      </c>
      <c r="F30" s="7">
        <f t="shared" ca="1" si="1"/>
        <v>953.04</v>
      </c>
      <c r="G30" s="7">
        <f t="shared" ca="1" si="4"/>
        <v>2521.110313941364</v>
      </c>
      <c r="H30" s="7">
        <f t="shared" ref="H30:H38" ca="1" si="7">E30-F30-G30</f>
        <v>338.00968605863591</v>
      </c>
      <c r="I30" s="8" t="str">
        <f t="shared" ca="1" si="2"/>
        <v>Good</v>
      </c>
    </row>
    <row r="31" spans="1:13" hidden="1" x14ac:dyDescent="0.3">
      <c r="A31" s="5">
        <v>2025</v>
      </c>
      <c r="B31" s="6" t="s">
        <v>6</v>
      </c>
      <c r="C31" s="19">
        <f t="shared" si="6"/>
        <v>45778</v>
      </c>
      <c r="D31" s="7">
        <f t="shared" ca="1" si="3"/>
        <v>4222</v>
      </c>
      <c r="E31" s="7">
        <f t="shared" ca="1" si="0"/>
        <v>3715.36</v>
      </c>
      <c r="F31" s="7">
        <f t="shared" ca="1" si="1"/>
        <v>928.84</v>
      </c>
      <c r="G31" s="7">
        <f t="shared" ca="1" si="4"/>
        <v>2538.806569479093</v>
      </c>
      <c r="H31" s="7">
        <f t="shared" ca="1" si="7"/>
        <v>247.71343052090697</v>
      </c>
      <c r="I31" s="8" t="str">
        <f t="shared" ca="1" si="2"/>
        <v>Good</v>
      </c>
    </row>
    <row r="32" spans="1:13" hidden="1" x14ac:dyDescent="0.3">
      <c r="A32" s="5">
        <v>2025</v>
      </c>
      <c r="B32" s="6" t="s">
        <v>7</v>
      </c>
      <c r="C32" s="19">
        <f t="shared" si="6"/>
        <v>45809</v>
      </c>
      <c r="D32" s="7">
        <f t="shared" ca="1" si="3"/>
        <v>4178</v>
      </c>
      <c r="E32" s="7">
        <f t="shared" ca="1" si="0"/>
        <v>3676.64</v>
      </c>
      <c r="F32" s="7">
        <f t="shared" ca="1" si="1"/>
        <v>919.16</v>
      </c>
      <c r="G32" s="7">
        <f t="shared" ca="1" si="4"/>
        <v>3294.9743758311461</v>
      </c>
      <c r="H32" s="7">
        <f t="shared" ca="1" si="7"/>
        <v>-537.49437583114604</v>
      </c>
      <c r="I32" s="8" t="str">
        <f t="shared" ca="1" si="2"/>
        <v>Bad</v>
      </c>
    </row>
    <row r="33" spans="1:9" hidden="1" x14ac:dyDescent="0.3">
      <c r="A33" s="5">
        <v>2025</v>
      </c>
      <c r="B33" s="6" t="s">
        <v>8</v>
      </c>
      <c r="C33" s="19">
        <f t="shared" si="6"/>
        <v>45839</v>
      </c>
      <c r="D33" s="7">
        <f t="shared" ca="1" si="3"/>
        <v>4052</v>
      </c>
      <c r="E33" s="7">
        <f t="shared" ca="1" si="0"/>
        <v>3565.76</v>
      </c>
      <c r="F33" s="7">
        <f t="shared" ca="1" si="1"/>
        <v>891.44</v>
      </c>
      <c r="G33" s="7">
        <f t="shared" ca="1" si="4"/>
        <v>2913.7145509200436</v>
      </c>
      <c r="H33" s="7">
        <f t="shared" ca="1" si="7"/>
        <v>-239.39455092004346</v>
      </c>
      <c r="I33" s="8" t="str">
        <f t="shared" ca="1" si="2"/>
        <v>Bad</v>
      </c>
    </row>
    <row r="34" spans="1:9" hidden="1" x14ac:dyDescent="0.3">
      <c r="A34" s="5">
        <v>2025</v>
      </c>
      <c r="B34" s="6" t="s">
        <v>9</v>
      </c>
      <c r="C34" s="19">
        <f t="shared" si="6"/>
        <v>45870</v>
      </c>
      <c r="D34" s="7">
        <f t="shared" ca="1" si="3"/>
        <v>3699</v>
      </c>
      <c r="E34" s="7">
        <f t="shared" ca="1" si="0"/>
        <v>3255.12</v>
      </c>
      <c r="F34" s="7">
        <f t="shared" ca="1" si="1"/>
        <v>813.78</v>
      </c>
      <c r="G34" s="7">
        <f t="shared" ca="1" si="4"/>
        <v>1406.8571722025351</v>
      </c>
      <c r="H34" s="7">
        <f t="shared" ca="1" si="7"/>
        <v>1034.482827797465</v>
      </c>
      <c r="I34" s="8" t="str">
        <f t="shared" ca="1" si="2"/>
        <v>Good</v>
      </c>
    </row>
    <row r="35" spans="1:9" hidden="1" x14ac:dyDescent="0.3">
      <c r="A35" s="5">
        <v>2025</v>
      </c>
      <c r="B35" s="6" t="s">
        <v>10</v>
      </c>
      <c r="C35" s="19">
        <f t="shared" si="6"/>
        <v>45901</v>
      </c>
      <c r="D35" s="7">
        <f t="shared" ca="1" si="3"/>
        <v>4359</v>
      </c>
      <c r="E35" s="7">
        <f t="shared" ca="1" si="0"/>
        <v>3835.92</v>
      </c>
      <c r="F35" s="7">
        <f t="shared" ca="1" si="1"/>
        <v>958.98</v>
      </c>
      <c r="G35" s="7">
        <f t="shared" ca="1" si="4"/>
        <v>2116.6863142422326</v>
      </c>
      <c r="H35" s="7">
        <f t="shared" ca="1" si="7"/>
        <v>760.25368575776747</v>
      </c>
      <c r="I35" s="8" t="str">
        <f t="shared" ca="1" si="2"/>
        <v>Good</v>
      </c>
    </row>
    <row r="36" spans="1:9" hidden="1" x14ac:dyDescent="0.3">
      <c r="A36" s="5">
        <v>2025</v>
      </c>
      <c r="B36" s="6" t="s">
        <v>11</v>
      </c>
      <c r="C36" s="19">
        <f t="shared" si="6"/>
        <v>45931</v>
      </c>
      <c r="D36" s="7">
        <f t="shared" ca="1" si="3"/>
        <v>4479</v>
      </c>
      <c r="E36" s="7">
        <f t="shared" ca="1" si="0"/>
        <v>3941.52</v>
      </c>
      <c r="F36" s="7">
        <f t="shared" ca="1" si="1"/>
        <v>985.38</v>
      </c>
      <c r="G36" s="7">
        <f t="shared" ca="1" si="4"/>
        <v>3590.1557807135805</v>
      </c>
      <c r="H36" s="7">
        <f t="shared" ca="1" si="7"/>
        <v>-634.01578071358063</v>
      </c>
      <c r="I36" s="8" t="str">
        <f t="shared" ca="1" si="2"/>
        <v>Bad</v>
      </c>
    </row>
    <row r="37" spans="1:9" hidden="1" x14ac:dyDescent="0.3">
      <c r="A37" s="5">
        <v>2025</v>
      </c>
      <c r="B37" s="6" t="s">
        <v>12</v>
      </c>
      <c r="C37" s="19">
        <f t="shared" si="6"/>
        <v>45962</v>
      </c>
      <c r="D37" s="7">
        <f t="shared" ca="1" si="3"/>
        <v>4233</v>
      </c>
      <c r="E37" s="7">
        <f t="shared" ca="1" si="0"/>
        <v>3725.04</v>
      </c>
      <c r="F37" s="7">
        <f t="shared" ca="1" si="1"/>
        <v>931.26</v>
      </c>
      <c r="G37" s="7">
        <f t="shared" ca="1" si="4"/>
        <v>2833.8920549518775</v>
      </c>
      <c r="H37" s="7">
        <f t="shared" ca="1" si="7"/>
        <v>-40.112054951877781</v>
      </c>
      <c r="I37" s="8" t="str">
        <f t="shared" ca="1" si="2"/>
        <v>Bad</v>
      </c>
    </row>
    <row r="38" spans="1:9" hidden="1" x14ac:dyDescent="0.3">
      <c r="A38" s="5">
        <v>2025</v>
      </c>
      <c r="B38" s="6" t="s">
        <v>13</v>
      </c>
      <c r="C38" s="19">
        <f t="shared" si="6"/>
        <v>45992</v>
      </c>
      <c r="D38" s="7">
        <f t="shared" ca="1" si="3"/>
        <v>4065</v>
      </c>
      <c r="E38" s="7">
        <f t="shared" ca="1" si="0"/>
        <v>3577.2</v>
      </c>
      <c r="F38" s="7">
        <f t="shared" ca="1" si="1"/>
        <v>894.3</v>
      </c>
      <c r="G38" s="7">
        <f t="shared" ca="1" si="4"/>
        <v>2984.8636246614947</v>
      </c>
      <c r="H38" s="7">
        <f t="shared" ca="1" si="7"/>
        <v>-301.96362466149503</v>
      </c>
      <c r="I38" s="8" t="str">
        <f t="shared" ca="1" si="2"/>
        <v>Bad</v>
      </c>
    </row>
    <row r="39" spans="1:9" x14ac:dyDescent="0.3">
      <c r="A39" s="9" t="s">
        <v>20</v>
      </c>
      <c r="B39" s="14">
        <f>SUBTOTAL(103,Table13[Month])</f>
        <v>12</v>
      </c>
      <c r="C39" s="14"/>
      <c r="D39" s="11">
        <f ca="1">SUBTOTAL(109,Table13[Gross Pay])</f>
        <v>49778</v>
      </c>
      <c r="E39" s="11">
        <f ca="1">SUBTOTAL(109,Table13[Net Pay])</f>
        <v>43804.639999999999</v>
      </c>
      <c r="F39" s="11">
        <f ca="1">SUBTOTAL(109,Table13[Savings])</f>
        <v>10951.16</v>
      </c>
      <c r="G39" s="11">
        <f ca="1">SUBTOTAL(109,Table13[Monthly Expenses (Fixed Costs)])</f>
        <v>30210.829363946348</v>
      </c>
      <c r="H39" s="11">
        <f ca="1">SUBTOTAL(109,Table13[Disposable Income])</f>
        <v>2642.6506360536582</v>
      </c>
      <c r="I39" s="13">
        <f ca="1">SUBTOTAL(103,Table13[Within Budget?])</f>
        <v>12</v>
      </c>
    </row>
    <row r="40" spans="1:9" x14ac:dyDescent="0.3">
      <c r="A40" s="16" t="s">
        <v>22</v>
      </c>
      <c r="B40" s="16" cm="1">
        <f t="array" aca="1" ref="B40:C40" ca="1">_xlfn.XLOOKUP(MAX(Table13[Gross Pay]), Table13[Gross Pay], Table13[[Year]:[Month]], 0)</f>
        <v>2023</v>
      </c>
      <c r="C40" s="16" t="str">
        <f ca="1"/>
        <v>November</v>
      </c>
      <c r="D40" s="18">
        <f ca="1">MAX(Table13[Gross Pay])</f>
        <v>4490</v>
      </c>
    </row>
    <row r="41" spans="1:9" x14ac:dyDescent="0.3">
      <c r="A41" s="16" t="s">
        <v>21</v>
      </c>
      <c r="B41" s="16">
        <f ca="1">INDEX(Table13[], MATCH(SUBTOTAL(104, Table13[Gross Pay]), Table13[Gross Pay], 0), 1)</f>
        <v>2023</v>
      </c>
      <c r="C41" s="16" t="str">
        <f ca="1">INDEX(Table13[], MATCH(SUBTOTAL(104, Table13[Gross Pay]), Table13[Gross Pay], 0), 2)</f>
        <v>November</v>
      </c>
      <c r="D41" s="18">
        <f ca="1">SUBTOTAL(104, Table13[Gross Pay])</f>
        <v>4490</v>
      </c>
    </row>
  </sheetData>
  <conditionalFormatting sqref="H1 I2:I38 H40:H1048576">
    <cfRule type="containsText" dxfId="21" priority="1" operator="containsText" text="Bad">
      <formula>NOT(ISERROR(SEARCH("Bad",H1)))</formula>
    </cfRule>
    <cfRule type="containsText" dxfId="20" priority="2" operator="containsText" text="Good">
      <formula>NOT(ISERROR(SEARCH("Good",H1)))</formula>
    </cfRule>
  </conditionalFormatting>
  <dataValidations count="4">
    <dataValidation type="whole" operator="greaterThan" allowBlank="1" showInputMessage="1" showErrorMessage="1" sqref="H1" xr:uid="{9813DE03-368F-478C-B05A-09A7F8EDA584}">
      <formula1>F1</formula1>
    </dataValidation>
    <dataValidation type="whole" operator="greaterThan" allowBlank="1" showInputMessage="1" showErrorMessage="1" sqref="F1" xr:uid="{E9E29F4D-ABCF-4954-91DC-F5C859C72AD4}">
      <formula1>0</formula1>
    </dataValidation>
    <dataValidation type="decimal" allowBlank="1" showInputMessage="1" showErrorMessage="1" sqref="B1 D1" xr:uid="{07EE675D-2E46-4A20-93B5-48D5764B5561}">
      <formula1>0</formula1>
      <formula2>1</formula2>
    </dataValidation>
    <dataValidation type="whole" allowBlank="1" showInputMessage="1" showErrorMessage="1" sqref="A42:A1048576 A3:A38" xr:uid="{3829C567-BA85-4ACE-87D1-B606A8E0531B}">
      <formula1>2020</formula1>
      <formula2>2025</formula2>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A2A81-B812-4690-96AD-E788BA04E29F}">
  <dimension ref="A1:J25"/>
  <sheetViews>
    <sheetView showGridLines="0" workbookViewId="0">
      <selection activeCell="D17" sqref="D17"/>
    </sheetView>
  </sheetViews>
  <sheetFormatPr defaultRowHeight="14.4" x14ac:dyDescent="0.3"/>
  <cols>
    <col min="1" max="1" width="25.5546875" bestFit="1" customWidth="1"/>
    <col min="2" max="2" width="28.5546875" customWidth="1"/>
    <col min="3" max="3" width="52.6640625" bestFit="1" customWidth="1"/>
    <col min="4" max="4" width="10.44140625" bestFit="1" customWidth="1"/>
    <col min="5" max="5" width="19.88671875" bestFit="1" customWidth="1"/>
    <col min="6" max="6" width="18" bestFit="1" customWidth="1"/>
    <col min="7" max="7" width="15.77734375" bestFit="1" customWidth="1"/>
    <col min="8" max="8" width="10.21875" bestFit="1" customWidth="1"/>
    <col min="9" max="9" width="23" bestFit="1" customWidth="1"/>
    <col min="10" max="10" width="10.21875" bestFit="1" customWidth="1"/>
  </cols>
  <sheetData>
    <row r="1" spans="1:10" ht="20.399999999999999" thickBot="1" x14ac:dyDescent="0.45">
      <c r="A1" s="83" t="s">
        <v>36</v>
      </c>
      <c r="B1" s="84"/>
      <c r="C1" s="85"/>
      <c r="E1" s="86" t="s">
        <v>45</v>
      </c>
      <c r="F1" s="86"/>
      <c r="G1" s="86"/>
    </row>
    <row r="2" spans="1:10" ht="15" thickTop="1" x14ac:dyDescent="0.3">
      <c r="A2" s="66" t="s">
        <v>41</v>
      </c>
      <c r="B2" s="51" t="s">
        <v>74</v>
      </c>
      <c r="C2" s="62" t="s">
        <v>44</v>
      </c>
      <c r="D2" s="20"/>
      <c r="E2" s="20" t="s">
        <v>38</v>
      </c>
      <c r="F2" s="20" t="s">
        <v>39</v>
      </c>
      <c r="G2" s="20" t="s">
        <v>40</v>
      </c>
      <c r="H2" s="21"/>
      <c r="I2" s="20"/>
      <c r="J2" s="21"/>
    </row>
    <row r="3" spans="1:10" x14ac:dyDescent="0.3">
      <c r="A3" s="67" t="s">
        <v>43</v>
      </c>
      <c r="B3" s="49">
        <v>30</v>
      </c>
      <c r="C3" s="63" t="s">
        <v>42</v>
      </c>
      <c r="D3" s="22"/>
      <c r="E3" s="36">
        <v>0</v>
      </c>
      <c r="F3" s="37">
        <v>0</v>
      </c>
      <c r="G3" s="37">
        <v>0</v>
      </c>
    </row>
    <row r="4" spans="1:10" x14ac:dyDescent="0.3">
      <c r="A4" s="67" t="s">
        <v>75</v>
      </c>
      <c r="B4" s="50"/>
      <c r="C4" s="64" t="s">
        <v>50</v>
      </c>
      <c r="D4" s="22"/>
      <c r="E4" s="36">
        <v>16453</v>
      </c>
      <c r="F4" s="37">
        <v>0.19059999999999999</v>
      </c>
      <c r="G4" s="37">
        <f>F4-F3</f>
        <v>0.19059999999999999</v>
      </c>
    </row>
    <row r="5" spans="1:10" x14ac:dyDescent="0.3">
      <c r="A5" s="67" t="s">
        <v>53</v>
      </c>
      <c r="B5" s="51" t="s">
        <v>59</v>
      </c>
      <c r="C5" s="63" t="s">
        <v>54</v>
      </c>
      <c r="E5" s="36">
        <v>50364</v>
      </c>
      <c r="F5" s="37">
        <v>0.217</v>
      </c>
      <c r="G5" s="37">
        <f>F5-F4</f>
        <v>2.6400000000000007E-2</v>
      </c>
    </row>
    <row r="6" spans="1:10" x14ac:dyDescent="0.3">
      <c r="A6" s="67" t="s">
        <v>55</v>
      </c>
      <c r="B6" s="52">
        <v>12</v>
      </c>
      <c r="C6" s="64" t="s">
        <v>56</v>
      </c>
      <c r="E6" s="36">
        <v>58524</v>
      </c>
      <c r="F6" s="37">
        <v>0.28199999999999997</v>
      </c>
      <c r="G6" s="37">
        <f t="shared" ref="G6:G7" si="0">F6-F5</f>
        <v>6.4999999999999974E-2</v>
      </c>
    </row>
    <row r="7" spans="1:10" x14ac:dyDescent="0.3">
      <c r="A7" s="67" t="s">
        <v>63</v>
      </c>
      <c r="B7" s="53">
        <v>2500</v>
      </c>
      <c r="C7" s="65" t="s">
        <v>64</v>
      </c>
      <c r="E7" s="36">
        <v>100729</v>
      </c>
      <c r="F7" s="37">
        <v>0.31</v>
      </c>
      <c r="G7" s="37">
        <f t="shared" si="0"/>
        <v>2.8000000000000025E-2</v>
      </c>
    </row>
    <row r="8" spans="1:10" x14ac:dyDescent="0.3">
      <c r="A8" s="81" t="s">
        <v>65</v>
      </c>
      <c r="B8" s="76">
        <v>1000</v>
      </c>
      <c r="C8" s="77" t="s">
        <v>66</v>
      </c>
    </row>
    <row r="9" spans="1:10" x14ac:dyDescent="0.3">
      <c r="A9" s="78" t="s">
        <v>77</v>
      </c>
      <c r="B9" s="79">
        <v>-34343</v>
      </c>
      <c r="C9" s="80" t="s">
        <v>78</v>
      </c>
    </row>
    <row r="12" spans="1:10" ht="20.399999999999999" thickBot="1" x14ac:dyDescent="0.45">
      <c r="A12" s="83" t="s">
        <v>49</v>
      </c>
      <c r="B12" s="84"/>
      <c r="C12" s="85"/>
    </row>
    <row r="13" spans="1:10" ht="15" thickTop="1" x14ac:dyDescent="0.3">
      <c r="A13" s="54" t="s">
        <v>47</v>
      </c>
      <c r="B13" s="74">
        <f>IF($B$2 = "Annual Salary", $B$3, IF($B$2 = "Monthly Salary", $B$3*12, IF($B$2 = "Hourly Wage", IF(ISBLANK($B$4), $B$3*2080,  $B$3*$B$4*52), 0)))</f>
        <v>62400</v>
      </c>
      <c r="C13" s="55"/>
    </row>
    <row r="14" spans="1:10" x14ac:dyDescent="0.3">
      <c r="A14" s="56" t="s">
        <v>46</v>
      </c>
      <c r="B14" s="68">
        <f>B13/12</f>
        <v>5200</v>
      </c>
      <c r="C14" s="57"/>
    </row>
    <row r="15" spans="1:10" x14ac:dyDescent="0.3">
      <c r="A15" s="58" t="s">
        <v>48</v>
      </c>
      <c r="B15" s="68">
        <f>IF(ISBLANK($B$4), $B$13/2080,  $B$13/(52*$B$4))</f>
        <v>30</v>
      </c>
      <c r="C15" s="57"/>
    </row>
    <row r="16" spans="1:10" x14ac:dyDescent="0.3">
      <c r="A16" s="58" t="s">
        <v>51</v>
      </c>
      <c r="B16" s="68" cm="1">
        <f t="array" ref="B16">SUMPRODUCT(($B$13 &gt; Tax_data[Salary (Annual)]) * ($B$13 - Tax_data[Salary (Annual)])*Tax_data[Rate Increase])</f>
        <v>9327.1886000000013</v>
      </c>
      <c r="C16" s="57"/>
      <c r="D16" s="46"/>
      <c r="E16" s="46"/>
      <c r="F16" s="46"/>
      <c r="G16" s="46"/>
      <c r="H16" s="46"/>
      <c r="I16" s="46"/>
      <c r="J16" s="46"/>
    </row>
    <row r="17" spans="1:10" x14ac:dyDescent="0.3">
      <c r="A17" s="58" t="s">
        <v>61</v>
      </c>
      <c r="B17" s="69">
        <f>annualtax/annual</f>
        <v>0.14947417628205131</v>
      </c>
      <c r="C17" s="57"/>
      <c r="D17" s="46"/>
      <c r="E17" s="46"/>
      <c r="F17" s="46"/>
      <c r="G17" s="46"/>
      <c r="H17" s="46"/>
      <c r="I17" s="46"/>
      <c r="J17" s="46"/>
    </row>
    <row r="18" spans="1:10" x14ac:dyDescent="0.3">
      <c r="A18" s="58" t="s">
        <v>52</v>
      </c>
      <c r="B18" s="70">
        <f>$B$16/12</f>
        <v>777.26571666666678</v>
      </c>
      <c r="C18" s="59"/>
      <c r="D18" s="45"/>
      <c r="E18" s="45"/>
      <c r="F18" s="47"/>
      <c r="G18" s="45"/>
      <c r="H18" s="47"/>
      <c r="I18" s="45"/>
      <c r="J18" s="47"/>
    </row>
    <row r="19" spans="1:10" x14ac:dyDescent="0.3">
      <c r="A19" s="58" t="s">
        <v>62</v>
      </c>
      <c r="B19" s="69">
        <f>(1+B17)^(1/12) - 1</f>
        <v>1.1676359295349492E-2</v>
      </c>
      <c r="C19" s="59"/>
      <c r="D19" s="45"/>
      <c r="E19" s="45"/>
      <c r="F19" s="47"/>
      <c r="G19" s="45"/>
      <c r="H19" s="47"/>
      <c r="I19" s="45"/>
      <c r="J19" s="47"/>
    </row>
    <row r="20" spans="1:10" x14ac:dyDescent="0.3">
      <c r="A20" s="58"/>
      <c r="B20" s="69"/>
      <c r="C20" s="59"/>
      <c r="D20" s="45"/>
      <c r="E20" s="45"/>
      <c r="F20" s="47"/>
      <c r="G20" s="45"/>
      <c r="H20" s="47"/>
      <c r="I20" s="45"/>
      <c r="J20" s="47"/>
    </row>
    <row r="21" spans="1:10" x14ac:dyDescent="0.3">
      <c r="A21" s="58" t="s">
        <v>69</v>
      </c>
      <c r="B21" s="68">
        <f>IF(ISBLANK(B7), 0, B7)</f>
        <v>2500</v>
      </c>
      <c r="C21" s="59"/>
      <c r="D21" s="45"/>
      <c r="E21" s="45"/>
      <c r="F21" s="47"/>
      <c r="G21" s="45"/>
      <c r="H21" s="47"/>
      <c r="I21" s="45"/>
      <c r="J21" s="47"/>
    </row>
    <row r="22" spans="1:10" x14ac:dyDescent="0.3">
      <c r="A22" s="58" t="s">
        <v>72</v>
      </c>
      <c r="B22" s="68">
        <f>B8</f>
        <v>1000</v>
      </c>
      <c r="C22" s="59"/>
      <c r="D22" s="45"/>
      <c r="E22" s="45"/>
      <c r="F22" s="47"/>
      <c r="G22" s="45"/>
      <c r="H22" s="47"/>
      <c r="I22" s="45"/>
      <c r="J22" s="47"/>
    </row>
    <row r="23" spans="1:10" x14ac:dyDescent="0.3">
      <c r="A23" s="58"/>
      <c r="B23" s="71"/>
      <c r="C23" s="59"/>
      <c r="D23" s="48"/>
      <c r="E23" s="46"/>
      <c r="F23" s="46"/>
      <c r="G23" s="46"/>
      <c r="H23" s="46"/>
      <c r="I23" s="46"/>
      <c r="J23" s="46"/>
    </row>
    <row r="24" spans="1:10" x14ac:dyDescent="0.3">
      <c r="A24" s="58" t="s">
        <v>57</v>
      </c>
      <c r="B24" s="72">
        <f>IF($B$5 = "Percent Goal", $B$6*$B$14/100, $B$6)</f>
        <v>624</v>
      </c>
      <c r="C24" s="59"/>
      <c r="D24" s="48"/>
      <c r="E24" s="46"/>
      <c r="F24" s="46"/>
      <c r="G24" s="46"/>
      <c r="H24" s="46"/>
      <c r="I24" s="46"/>
      <c r="J24" s="46"/>
    </row>
    <row r="25" spans="1:10" x14ac:dyDescent="0.3">
      <c r="A25" s="60" t="s">
        <v>58</v>
      </c>
      <c r="B25" s="73">
        <f>$B$24/($B$14-$B$18)</f>
        <v>0.14108919053796348</v>
      </c>
      <c r="C25" s="61" t="s">
        <v>60</v>
      </c>
    </row>
  </sheetData>
  <mergeCells count="3">
    <mergeCell ref="A1:C1"/>
    <mergeCell ref="E1:G1"/>
    <mergeCell ref="A12:C12"/>
  </mergeCells>
  <conditionalFormatting sqref="B4">
    <cfRule type="expression" dxfId="19" priority="1" stopIfTrue="1">
      <formula>$B$2 &lt;&gt; "Hourly Wage"</formula>
    </cfRule>
  </conditionalFormatting>
  <conditionalFormatting sqref="H2">
    <cfRule type="containsText" dxfId="18" priority="7" operator="containsText" text="Bad">
      <formula>NOT(ISERROR(SEARCH("Bad",H2)))</formula>
    </cfRule>
    <cfRule type="containsText" dxfId="17" priority="8" operator="containsText" text="Good">
      <formula>NOT(ISERROR(SEARCH("Good",H2)))</formula>
    </cfRule>
  </conditionalFormatting>
  <conditionalFormatting sqref="H18:H22">
    <cfRule type="containsText" dxfId="16" priority="5" operator="containsText" text="Bad">
      <formula>NOT(ISERROR(SEARCH("Bad",H18)))</formula>
    </cfRule>
    <cfRule type="containsText" dxfId="15" priority="6" operator="containsText" text="Good">
      <formula>NOT(ISERROR(SEARCH("Good",H18)))</formula>
    </cfRule>
  </conditionalFormatting>
  <dataValidations count="6">
    <dataValidation type="decimal" allowBlank="1" showInputMessage="1" showErrorMessage="1" sqref="B4" xr:uid="{B6FEA1F4-5446-45D6-83A0-62D032E4EB12}">
      <formula1>0</formula1>
      <formula2>100</formula2>
    </dataValidation>
    <dataValidation type="list" allowBlank="1" showInputMessage="1" showErrorMessage="1" sqref="B2" xr:uid="{7A025E32-2F90-447D-8F58-9B74F5A15EEF}">
      <formula1>"Hourly Wage, Annual Salary, Monthly Salary"</formula1>
    </dataValidation>
    <dataValidation type="decimal" operator="greaterThan" allowBlank="1" showInputMessage="1" showErrorMessage="1" sqref="B3" xr:uid="{266E4DD9-54F0-4A42-B4C0-2FA165D2CC61}">
      <formula1>0</formula1>
    </dataValidation>
    <dataValidation type="list" allowBlank="1" showInputMessage="1" showErrorMessage="1" sqref="B5" xr:uid="{01865756-AE75-433D-8B33-92EC147E4C11}">
      <formula1>"Percent Goal, Amount Goal"</formula1>
    </dataValidation>
    <dataValidation type="decimal" operator="greaterThanOrEqual" allowBlank="1" showInputMessage="1" showErrorMessage="1" sqref="B7:B8" xr:uid="{AA21DB45-CD21-4D90-A618-43D69311EF18}">
      <formula1>0</formula1>
    </dataValidation>
    <dataValidation type="decimal" operator="greaterThanOrEqual" allowBlank="1" showInputMessage="1" showErrorMessage="1" sqref="B9" xr:uid="{71EAD652-E7F7-4D1C-AFDC-E79F65CBD6ED}">
      <formula1>-1E+28</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5" r:id="rId3" name="Button 3">
              <controlPr defaultSize="0" print="0" autoFill="0" autoPict="0" macro="[0]!reset">
                <anchor moveWithCells="1" sizeWithCells="1">
                  <from>
                    <xdr:col>3</xdr:col>
                    <xdr:colOff>579120</xdr:colOff>
                    <xdr:row>9</xdr:row>
                    <xdr:rowOff>22860</xdr:rowOff>
                  </from>
                  <to>
                    <xdr:col>5</xdr:col>
                    <xdr:colOff>182880</xdr:colOff>
                    <xdr:row>11</xdr:row>
                    <xdr:rowOff>175260</xdr:rowOff>
                  </to>
                </anchor>
              </controlPr>
            </control>
          </mc:Choice>
        </mc:AlternateContent>
      </controls>
    </mc:Choice>
  </mc:AlternateContent>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9CF7-E585-4835-9377-F68403B6CA4F}">
  <dimension ref="A1:O16"/>
  <sheetViews>
    <sheetView tabSelected="1" zoomScale="85" zoomScaleNormal="85" workbookViewId="0">
      <pane ySplit="2" topLeftCell="A3" activePane="bottomLeft" state="frozen"/>
      <selection pane="bottomLeft" activeCell="B27" sqref="B27"/>
    </sheetView>
  </sheetViews>
  <sheetFormatPr defaultRowHeight="14.4" x14ac:dyDescent="0.3"/>
  <cols>
    <col min="1" max="1" width="15.44140625" bestFit="1" customWidth="1"/>
    <col min="2" max="2" width="11.6640625" bestFit="1" customWidth="1"/>
    <col min="3" max="3" width="21.33203125" bestFit="1" customWidth="1"/>
    <col min="4" max="4" width="21.21875" customWidth="1"/>
    <col min="5" max="5" width="23.88671875" bestFit="1" customWidth="1"/>
    <col min="6" max="6" width="28.77734375" customWidth="1"/>
    <col min="7" max="7" width="29.5546875" bestFit="1" customWidth="1"/>
    <col min="8" max="8" width="19.21875" customWidth="1"/>
    <col min="9" max="9" width="22.33203125" bestFit="1" customWidth="1"/>
    <col min="10" max="10" width="13.6640625" customWidth="1"/>
    <col min="11" max="11" width="16.33203125" bestFit="1" customWidth="1"/>
    <col min="12" max="12" width="9.6640625" bestFit="1" customWidth="1"/>
  </cols>
  <sheetData>
    <row r="1" spans="1:15" ht="23.4" customHeight="1" x14ac:dyDescent="0.3">
      <c r="A1" s="39" t="s">
        <v>46</v>
      </c>
      <c r="B1" s="40">
        <f>monthly</f>
        <v>5200</v>
      </c>
      <c r="C1" s="39" t="s">
        <v>71</v>
      </c>
      <c r="D1" s="41">
        <f>monthlytax</f>
        <v>777.26571666666678</v>
      </c>
      <c r="E1" s="39" t="s">
        <v>69</v>
      </c>
      <c r="F1" s="40">
        <f>'Control Panel V2'!B21</f>
        <v>2500</v>
      </c>
      <c r="G1" s="39" t="s">
        <v>67</v>
      </c>
      <c r="H1" s="40">
        <f>'Control Panel V2'!B22</f>
        <v>1000</v>
      </c>
      <c r="I1" s="39" t="s">
        <v>70</v>
      </c>
      <c r="J1" s="39">
        <f>savings</f>
        <v>624</v>
      </c>
    </row>
    <row r="2" spans="1:15" x14ac:dyDescent="0.3">
      <c r="A2" s="2" t="s">
        <v>18</v>
      </c>
      <c r="B2" s="3" t="s">
        <v>23</v>
      </c>
      <c r="C2" s="3" t="s">
        <v>14</v>
      </c>
      <c r="D2" s="3" t="s">
        <v>15</v>
      </c>
      <c r="E2" s="3" t="s">
        <v>0</v>
      </c>
      <c r="F2" s="3" t="s">
        <v>17</v>
      </c>
      <c r="G2" s="3" t="s">
        <v>67</v>
      </c>
      <c r="H2" s="3" t="s">
        <v>68</v>
      </c>
      <c r="I2" s="3" t="s">
        <v>16</v>
      </c>
      <c r="J2" s="4" t="s">
        <v>76</v>
      </c>
      <c r="K2" s="4" t="s">
        <v>19</v>
      </c>
    </row>
    <row r="3" spans="1:15" x14ac:dyDescent="0.3">
      <c r="A3" s="5">
        <v>2026</v>
      </c>
      <c r="B3" s="6" t="s">
        <v>2</v>
      </c>
      <c r="C3" s="38">
        <f>$B$1</f>
        <v>5200</v>
      </c>
      <c r="D3" s="38">
        <f>C3 - $D$1</f>
        <v>4422.7342833333332</v>
      </c>
      <c r="E3" s="7">
        <f>$J$1</f>
        <v>624</v>
      </c>
      <c r="F3" s="38">
        <f>F$1</f>
        <v>2500</v>
      </c>
      <c r="G3" s="7">
        <f ca="1">_xlfn.NORM.INV(RAND(), H$1, H$1/3)</f>
        <v>517.17273951311108</v>
      </c>
      <c r="H3" s="7">
        <f ca="1">Table132[[#This Row],[Monthly Expenses (Fixed Costs)]]+Table132[[#This Row],[Monthly Variable Expenses]]</f>
        <v>3017.1727395131111</v>
      </c>
      <c r="I3" s="38">
        <f ca="1">D3-E3-Table132[[#This Row],[Total Expenses]]</f>
        <v>781.56154382022214</v>
      </c>
      <c r="J3" s="75">
        <f ca="1">float+Table132[[#This Row],[Disposable Income]]</f>
        <v>-33561.438456179778</v>
      </c>
      <c r="K3" s="8" t="str">
        <f t="shared" ref="K3:K14" ca="1" si="0">IF(I3  &gt; 0, "Good", "Bad")</f>
        <v>Good</v>
      </c>
    </row>
    <row r="4" spans="1:15" x14ac:dyDescent="0.3">
      <c r="A4" s="5">
        <v>2026</v>
      </c>
      <c r="B4" s="6" t="s">
        <v>3</v>
      </c>
      <c r="C4" s="38">
        <f t="shared" ref="C4:C14" si="1">$B$1</f>
        <v>5200</v>
      </c>
      <c r="D4" s="38">
        <f t="shared" ref="D4:D14" si="2">C4 - $D$1</f>
        <v>4422.7342833333332</v>
      </c>
      <c r="E4" s="7">
        <f t="shared" ref="E4:E14" si="3">$J$1</f>
        <v>624</v>
      </c>
      <c r="F4" s="38">
        <f t="shared" ref="F4:F14" si="4">F$1</f>
        <v>2500</v>
      </c>
      <c r="G4" s="7">
        <f t="shared" ref="G4:G14" ca="1" si="5">_xlfn.NORM.INV(RAND(), H$1, H$1/3)</f>
        <v>801.95592363748835</v>
      </c>
      <c r="H4" s="7">
        <f ca="1">Table132[[#This Row],[Monthly Expenses (Fixed Costs)]]+Table132[[#This Row],[Monthly Variable Expenses]]</f>
        <v>3301.9559236374885</v>
      </c>
      <c r="I4" s="38">
        <f ca="1">D4-E4-Table132[[#This Row],[Total Expenses]]</f>
        <v>496.77835969584476</v>
      </c>
      <c r="J4" s="75">
        <f ca="1">J3+Table132[[#This Row],[Disposable Income]]</f>
        <v>-33064.660096483931</v>
      </c>
      <c r="K4" s="8" t="str">
        <f t="shared" ca="1" si="0"/>
        <v>Good</v>
      </c>
    </row>
    <row r="5" spans="1:15" x14ac:dyDescent="0.3">
      <c r="A5" s="5">
        <v>2026</v>
      </c>
      <c r="B5" s="6" t="s">
        <v>4</v>
      </c>
      <c r="C5" s="38">
        <f t="shared" si="1"/>
        <v>5200</v>
      </c>
      <c r="D5" s="38">
        <f t="shared" si="2"/>
        <v>4422.7342833333332</v>
      </c>
      <c r="E5" s="7">
        <f t="shared" si="3"/>
        <v>624</v>
      </c>
      <c r="F5" s="38">
        <f t="shared" si="4"/>
        <v>2500</v>
      </c>
      <c r="G5" s="7">
        <f t="shared" ca="1" si="5"/>
        <v>851.04133445234152</v>
      </c>
      <c r="H5" s="7">
        <f ca="1">Table132[[#This Row],[Monthly Expenses (Fixed Costs)]]+Table132[[#This Row],[Monthly Variable Expenses]]</f>
        <v>3351.0413344523413</v>
      </c>
      <c r="I5" s="38">
        <f ca="1">D5-E5-Table132[[#This Row],[Total Expenses]]</f>
        <v>447.69294888099193</v>
      </c>
      <c r="J5" s="75">
        <f ca="1">J4+Table132[[#This Row],[Disposable Income]]</f>
        <v>-32616.96714760294</v>
      </c>
      <c r="K5" s="8" t="str">
        <f t="shared" ca="1" si="0"/>
        <v>Good</v>
      </c>
    </row>
    <row r="6" spans="1:15" x14ac:dyDescent="0.3">
      <c r="A6" s="5">
        <v>2026</v>
      </c>
      <c r="B6" s="6" t="s">
        <v>5</v>
      </c>
      <c r="C6" s="38">
        <f t="shared" si="1"/>
        <v>5200</v>
      </c>
      <c r="D6" s="38">
        <f t="shared" si="2"/>
        <v>4422.7342833333332</v>
      </c>
      <c r="E6" s="7">
        <f t="shared" si="3"/>
        <v>624</v>
      </c>
      <c r="F6" s="38">
        <f t="shared" si="4"/>
        <v>2500</v>
      </c>
      <c r="G6" s="7">
        <f t="shared" ca="1" si="5"/>
        <v>836.99446041279134</v>
      </c>
      <c r="H6" s="7">
        <f ca="1">Table132[[#This Row],[Monthly Expenses (Fixed Costs)]]+Table132[[#This Row],[Monthly Variable Expenses]]</f>
        <v>3336.9944604127913</v>
      </c>
      <c r="I6" s="38">
        <f ca="1">D6-E6-Table132[[#This Row],[Total Expenses]]</f>
        <v>461.73982292054188</v>
      </c>
      <c r="J6" s="75">
        <f ca="1">J5+Table132[[#This Row],[Disposable Income]]</f>
        <v>-32155.227324682397</v>
      </c>
      <c r="K6" s="8" t="str">
        <f t="shared" ca="1" si="0"/>
        <v>Good</v>
      </c>
    </row>
    <row r="7" spans="1:15" x14ac:dyDescent="0.3">
      <c r="A7" s="5">
        <v>2026</v>
      </c>
      <c r="B7" s="6" t="s">
        <v>6</v>
      </c>
      <c r="C7" s="38">
        <f t="shared" si="1"/>
        <v>5200</v>
      </c>
      <c r="D7" s="38">
        <f t="shared" si="2"/>
        <v>4422.7342833333332</v>
      </c>
      <c r="E7" s="7">
        <f t="shared" si="3"/>
        <v>624</v>
      </c>
      <c r="F7" s="38">
        <f t="shared" si="4"/>
        <v>2500</v>
      </c>
      <c r="G7" s="7">
        <f t="shared" ca="1" si="5"/>
        <v>261.87520748341524</v>
      </c>
      <c r="H7" s="7">
        <f ca="1">Table132[[#This Row],[Monthly Expenses (Fixed Costs)]]+Table132[[#This Row],[Monthly Variable Expenses]]</f>
        <v>2761.8752074834151</v>
      </c>
      <c r="I7" s="38">
        <f ca="1">D7-E7-Table132[[#This Row],[Total Expenses]]</f>
        <v>1036.8590758499181</v>
      </c>
      <c r="J7" s="75">
        <f ca="1">J6+Table132[[#This Row],[Disposable Income]]</f>
        <v>-31118.368248832478</v>
      </c>
      <c r="K7" s="8" t="str">
        <f t="shared" ca="1" si="0"/>
        <v>Good</v>
      </c>
    </row>
    <row r="8" spans="1:15" x14ac:dyDescent="0.3">
      <c r="A8" s="5">
        <v>2026</v>
      </c>
      <c r="B8" s="6" t="s">
        <v>7</v>
      </c>
      <c r="C8" s="38">
        <f t="shared" si="1"/>
        <v>5200</v>
      </c>
      <c r="D8" s="38">
        <f t="shared" si="2"/>
        <v>4422.7342833333332</v>
      </c>
      <c r="E8" s="7">
        <f t="shared" si="3"/>
        <v>624</v>
      </c>
      <c r="F8" s="38">
        <f t="shared" si="4"/>
        <v>2500</v>
      </c>
      <c r="G8" s="7">
        <f t="shared" ca="1" si="5"/>
        <v>1147.8810508916067</v>
      </c>
      <c r="H8" s="7">
        <f ca="1">Table132[[#This Row],[Monthly Expenses (Fixed Costs)]]+Table132[[#This Row],[Monthly Variable Expenses]]</f>
        <v>3647.8810508916067</v>
      </c>
      <c r="I8" s="38">
        <f ca="1">D8-E8-Table132[[#This Row],[Total Expenses]]</f>
        <v>150.8532324417265</v>
      </c>
      <c r="J8" s="75">
        <f ca="1">J7+Table132[[#This Row],[Disposable Income]]</f>
        <v>-30967.515016390753</v>
      </c>
      <c r="K8" s="8" t="str">
        <f t="shared" ca="1" si="0"/>
        <v>Good</v>
      </c>
      <c r="N8" s="1"/>
    </row>
    <row r="9" spans="1:15" x14ac:dyDescent="0.3">
      <c r="A9" s="5">
        <v>2026</v>
      </c>
      <c r="B9" s="6" t="s">
        <v>8</v>
      </c>
      <c r="C9" s="38">
        <f t="shared" si="1"/>
        <v>5200</v>
      </c>
      <c r="D9" s="38">
        <f t="shared" si="2"/>
        <v>4422.7342833333332</v>
      </c>
      <c r="E9" s="7">
        <f t="shared" si="3"/>
        <v>624</v>
      </c>
      <c r="F9" s="38">
        <f t="shared" si="4"/>
        <v>2500</v>
      </c>
      <c r="G9" s="7">
        <f t="shared" ca="1" si="5"/>
        <v>1349.5698180588379</v>
      </c>
      <c r="H9" s="7">
        <f ca="1">Table132[[#This Row],[Monthly Expenses (Fixed Costs)]]+Table132[[#This Row],[Monthly Variable Expenses]]</f>
        <v>3849.5698180588379</v>
      </c>
      <c r="I9" s="38">
        <f ca="1">D9-E9-Table132[[#This Row],[Total Expenses]]</f>
        <v>-50.835534725504658</v>
      </c>
      <c r="J9" s="75">
        <f ca="1">J8+Table132[[#This Row],[Disposable Income]]</f>
        <v>-31018.350551116258</v>
      </c>
      <c r="K9" s="8" t="str">
        <f t="shared" ca="1" si="0"/>
        <v>Bad</v>
      </c>
      <c r="N9" s="1"/>
    </row>
    <row r="10" spans="1:15" x14ac:dyDescent="0.3">
      <c r="A10" s="5">
        <v>2026</v>
      </c>
      <c r="B10" s="6" t="s">
        <v>9</v>
      </c>
      <c r="C10" s="38">
        <f t="shared" si="1"/>
        <v>5200</v>
      </c>
      <c r="D10" s="38">
        <f t="shared" si="2"/>
        <v>4422.7342833333332</v>
      </c>
      <c r="E10" s="7">
        <f t="shared" si="3"/>
        <v>624</v>
      </c>
      <c r="F10" s="38">
        <f t="shared" si="4"/>
        <v>2500</v>
      </c>
      <c r="G10" s="7">
        <f t="shared" ca="1" si="5"/>
        <v>1122.0118138244463</v>
      </c>
      <c r="H10" s="7">
        <f ca="1">Table132[[#This Row],[Monthly Expenses (Fixed Costs)]]+Table132[[#This Row],[Monthly Variable Expenses]]</f>
        <v>3622.0118138244461</v>
      </c>
      <c r="I10" s="38">
        <f ca="1">D10-E10-Table132[[#This Row],[Total Expenses]]</f>
        <v>176.72246950888712</v>
      </c>
      <c r="J10" s="75">
        <f ca="1">J9+Table132[[#This Row],[Disposable Income]]</f>
        <v>-30841.62808160737</v>
      </c>
      <c r="K10" s="8" t="str">
        <f t="shared" ca="1" si="0"/>
        <v>Good</v>
      </c>
      <c r="L10" s="1"/>
      <c r="O10" s="1"/>
    </row>
    <row r="11" spans="1:15" x14ac:dyDescent="0.3">
      <c r="A11" s="5">
        <v>2026</v>
      </c>
      <c r="B11" s="6" t="s">
        <v>10</v>
      </c>
      <c r="C11" s="38">
        <f t="shared" si="1"/>
        <v>5200</v>
      </c>
      <c r="D11" s="38">
        <f t="shared" si="2"/>
        <v>4422.7342833333332</v>
      </c>
      <c r="E11" s="7">
        <f t="shared" si="3"/>
        <v>624</v>
      </c>
      <c r="F11" s="38">
        <f t="shared" si="4"/>
        <v>2500</v>
      </c>
      <c r="G11" s="7">
        <f t="shared" ca="1" si="5"/>
        <v>1535.8747734018384</v>
      </c>
      <c r="H11" s="7">
        <f ca="1">Table132[[#This Row],[Monthly Expenses (Fixed Costs)]]+Table132[[#This Row],[Monthly Variable Expenses]]</f>
        <v>4035.8747734018384</v>
      </c>
      <c r="I11" s="38">
        <f ca="1">D11-E11-Table132[[#This Row],[Total Expenses]]</f>
        <v>-237.14049006850519</v>
      </c>
      <c r="J11" s="75">
        <f ca="1">J10+Table132[[#This Row],[Disposable Income]]</f>
        <v>-31078.768571675875</v>
      </c>
      <c r="K11" s="8" t="str">
        <f t="shared" ca="1" si="0"/>
        <v>Bad</v>
      </c>
      <c r="L11" s="1"/>
      <c r="O11" s="1"/>
    </row>
    <row r="12" spans="1:15" x14ac:dyDescent="0.3">
      <c r="A12" s="5">
        <v>2026</v>
      </c>
      <c r="B12" s="6" t="s">
        <v>11</v>
      </c>
      <c r="C12" s="38">
        <f t="shared" si="1"/>
        <v>5200</v>
      </c>
      <c r="D12" s="38">
        <f t="shared" si="2"/>
        <v>4422.7342833333332</v>
      </c>
      <c r="E12" s="7">
        <f t="shared" si="3"/>
        <v>624</v>
      </c>
      <c r="F12" s="38">
        <f t="shared" si="4"/>
        <v>2500</v>
      </c>
      <c r="G12" s="7">
        <f t="shared" ca="1" si="5"/>
        <v>870.82203008777867</v>
      </c>
      <c r="H12" s="7">
        <f ca="1">Table132[[#This Row],[Monthly Expenses (Fixed Costs)]]+Table132[[#This Row],[Monthly Variable Expenses]]</f>
        <v>3370.8220300877788</v>
      </c>
      <c r="I12" s="38">
        <f ca="1">D12-E12-Table132[[#This Row],[Total Expenses]]</f>
        <v>427.91225324555444</v>
      </c>
      <c r="J12" s="75">
        <f ca="1">J11+Table132[[#This Row],[Disposable Income]]</f>
        <v>-30650.85631843032</v>
      </c>
      <c r="K12" s="8" t="str">
        <f t="shared" ca="1" si="0"/>
        <v>Good</v>
      </c>
      <c r="L12" s="1"/>
    </row>
    <row r="13" spans="1:15" x14ac:dyDescent="0.3">
      <c r="A13" s="5">
        <v>2026</v>
      </c>
      <c r="B13" s="6" t="s">
        <v>12</v>
      </c>
      <c r="C13" s="38">
        <f t="shared" si="1"/>
        <v>5200</v>
      </c>
      <c r="D13" s="38">
        <f t="shared" si="2"/>
        <v>4422.7342833333332</v>
      </c>
      <c r="E13" s="7">
        <f t="shared" si="3"/>
        <v>624</v>
      </c>
      <c r="F13" s="38">
        <f t="shared" si="4"/>
        <v>2500</v>
      </c>
      <c r="G13" s="7">
        <f t="shared" ca="1" si="5"/>
        <v>961.06148497276774</v>
      </c>
      <c r="H13" s="7">
        <f ca="1">Table132[[#This Row],[Monthly Expenses (Fixed Costs)]]+Table132[[#This Row],[Monthly Variable Expenses]]</f>
        <v>3461.0614849727676</v>
      </c>
      <c r="I13" s="38">
        <f ca="1">D13-E13-Table132[[#This Row],[Total Expenses]]</f>
        <v>337.67279836056559</v>
      </c>
      <c r="J13" s="75">
        <f ca="1">J12+Table132[[#This Row],[Disposable Income]]</f>
        <v>-30313.183520069753</v>
      </c>
      <c r="K13" s="8" t="str">
        <f t="shared" ca="1" si="0"/>
        <v>Good</v>
      </c>
      <c r="L13" s="1"/>
    </row>
    <row r="14" spans="1:15" x14ac:dyDescent="0.3">
      <c r="A14" s="5">
        <v>2026</v>
      </c>
      <c r="B14" s="6" t="s">
        <v>13</v>
      </c>
      <c r="C14" s="38">
        <f t="shared" si="1"/>
        <v>5200</v>
      </c>
      <c r="D14" s="38">
        <f t="shared" si="2"/>
        <v>4422.7342833333332</v>
      </c>
      <c r="E14" s="7">
        <f t="shared" si="3"/>
        <v>624</v>
      </c>
      <c r="F14" s="38">
        <f t="shared" si="4"/>
        <v>2500</v>
      </c>
      <c r="G14" s="7">
        <f t="shared" ca="1" si="5"/>
        <v>919.92720205178125</v>
      </c>
      <c r="H14" s="7">
        <f ca="1">Table132[[#This Row],[Monthly Expenses (Fixed Costs)]]+Table132[[#This Row],[Monthly Variable Expenses]]</f>
        <v>3419.927202051781</v>
      </c>
      <c r="I14" s="38">
        <f ca="1">D14-E14-Table132[[#This Row],[Total Expenses]]</f>
        <v>378.8070812815522</v>
      </c>
      <c r="J14" s="75">
        <f ca="1">J13+Table132[[#This Row],[Disposable Income]]</f>
        <v>-29934.3764387882</v>
      </c>
      <c r="K14" s="8" t="str">
        <f t="shared" ca="1" si="0"/>
        <v>Good</v>
      </c>
      <c r="L14" s="1"/>
    </row>
    <row r="15" spans="1:15" x14ac:dyDescent="0.3">
      <c r="A15" s="9" t="s">
        <v>20</v>
      </c>
      <c r="B15" s="14">
        <f>SUBTOTAL(103,Table132[Month])</f>
        <v>12</v>
      </c>
      <c r="C15" s="11">
        <f>SUBTOTAL(109,Table132[Gross Pay])</f>
        <v>62400</v>
      </c>
      <c r="D15" s="11">
        <f>SUBTOTAL(109,Table132[Net Pay])</f>
        <v>53072.811399999984</v>
      </c>
      <c r="E15" s="11">
        <f>SUBTOTAL(109,Table132[Savings])</f>
        <v>7488</v>
      </c>
      <c r="F15" s="11">
        <f>SUBTOTAL(109,Table132[Monthly Expenses (Fixed Costs)])</f>
        <v>30000</v>
      </c>
      <c r="G15" s="11">
        <f ca="1">SUBTOTAL(109,Table132[Monthly Variable Expenses])</f>
        <v>11176.187838788204</v>
      </c>
      <c r="H15" s="11">
        <f ca="1">SUBTOTAL(109,Table132[Total Expenses])</f>
        <v>41176.187838788202</v>
      </c>
      <c r="I15" s="11">
        <f ca="1">SUBTOTAL(109,Table132[Disposable Income])</f>
        <v>4408.6235612117944</v>
      </c>
      <c r="J15" s="14" t="str">
        <f ca="1">IF(Table132[[#Totals],[Disposable Income]] &gt; 0, "Positive", "Negative")</f>
        <v>Positive</v>
      </c>
      <c r="K15" s="13">
        <f ca="1">COUNTIF(Table132[Within Budget?], "Good")</f>
        <v>10</v>
      </c>
    </row>
    <row r="16" spans="1:15" x14ac:dyDescent="0.3">
      <c r="A16" s="16" t="s">
        <v>73</v>
      </c>
      <c r="B16" s="44" t="str">
        <f ca="1">_xlfn.XLOOKUP(C$16, Table132[Disposable Income], Table132[Month])</f>
        <v>May</v>
      </c>
      <c r="C16" s="18">
        <f ca="1">MAX(Table132[Disposable Income])</f>
        <v>1036.8590758499181</v>
      </c>
      <c r="D16" s="43"/>
      <c r="E16" s="42"/>
    </row>
  </sheetData>
  <conditionalFormatting sqref="J15">
    <cfRule type="containsText" dxfId="14" priority="1" operator="containsText" text="Positive">
      <formula>NOT(ISERROR(SEARCH("Positive",J15)))</formula>
    </cfRule>
    <cfRule type="containsText" dxfId="13" priority="2" operator="containsText" text="Negative">
      <formula>NOT(ISERROR(SEARCH("Negative",J15)))</formula>
    </cfRule>
  </conditionalFormatting>
  <conditionalFormatting sqref="K2:K14 H16:H1048576">
    <cfRule type="containsText" dxfId="12" priority="3" operator="containsText" text="Bad">
      <formula>NOT(ISERROR(SEARCH("Bad",H2)))</formula>
    </cfRule>
    <cfRule type="containsText" dxfId="11" priority="4" operator="containsText" text="Good">
      <formula>NOT(ISERROR(SEARCH("Good",H2)))</formula>
    </cfRule>
  </conditionalFormatting>
  <dataValidations count="1">
    <dataValidation type="whole" operator="greaterThan" allowBlank="1" showInputMessage="1" showErrorMessage="1" sqref="A17:A1048576 A3:A14" xr:uid="{9140DC94-9248-467A-A1FE-D32F7C837189}">
      <formula1>2020</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4" r:id="rId4" name="Button 4">
              <controlPr defaultSize="0" print="0" autoFill="0" autoPict="0" macro="[0]!refresh">
                <anchor moveWithCells="1" sizeWithCells="1">
                  <from>
                    <xdr:col>0</xdr:col>
                    <xdr:colOff>777240</xdr:colOff>
                    <xdr:row>17</xdr:row>
                    <xdr:rowOff>83820</xdr:rowOff>
                  </from>
                  <to>
                    <xdr:col>2</xdr:col>
                    <xdr:colOff>579120</xdr:colOff>
                    <xdr:row>21</xdr:row>
                    <xdr:rowOff>53340</xdr:rowOff>
                  </to>
                </anchor>
              </controlPr>
            </control>
          </mc:Choice>
        </mc:AlternateContent>
      </controls>
    </mc:Choice>
  </mc:AlternateContent>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92C6-67A7-4700-9807-95408A1BD11E}">
  <dimension ref="A1:C7"/>
  <sheetViews>
    <sheetView workbookViewId="0">
      <selection activeCell="C27" sqref="C27"/>
    </sheetView>
  </sheetViews>
  <sheetFormatPr defaultRowHeight="14.4" x14ac:dyDescent="0.3"/>
  <cols>
    <col min="1" max="1" width="22.109375" customWidth="1"/>
    <col min="2" max="2" width="11.6640625" customWidth="1"/>
    <col min="3" max="3" width="29.44140625" customWidth="1"/>
  </cols>
  <sheetData>
    <row r="1" spans="1:3" ht="19.8" x14ac:dyDescent="0.4">
      <c r="A1" s="87" t="s">
        <v>37</v>
      </c>
      <c r="B1" s="87"/>
      <c r="C1" s="87"/>
    </row>
    <row r="2" spans="1:3" x14ac:dyDescent="0.3">
      <c r="A2" s="20" t="s">
        <v>38</v>
      </c>
      <c r="B2" s="20" t="s">
        <v>39</v>
      </c>
      <c r="C2" s="20" t="s">
        <v>40</v>
      </c>
    </row>
    <row r="3" spans="1:3" x14ac:dyDescent="0.3">
      <c r="A3" s="34">
        <v>0</v>
      </c>
      <c r="B3" s="35">
        <v>0</v>
      </c>
      <c r="C3" s="35">
        <v>0</v>
      </c>
    </row>
    <row r="4" spans="1:3" x14ac:dyDescent="0.3">
      <c r="A4" s="34">
        <v>16453</v>
      </c>
      <c r="B4" s="35">
        <v>0.19059999999999999</v>
      </c>
      <c r="C4" s="35">
        <f>B4-B3</f>
        <v>0.19059999999999999</v>
      </c>
    </row>
    <row r="5" spans="1:3" x14ac:dyDescent="0.3">
      <c r="A5" s="34">
        <v>50364</v>
      </c>
      <c r="B5" s="35">
        <v>0.217</v>
      </c>
      <c r="C5" s="35">
        <f t="shared" ref="C5:C7" si="0">B5-B4</f>
        <v>2.6400000000000007E-2</v>
      </c>
    </row>
    <row r="6" spans="1:3" x14ac:dyDescent="0.3">
      <c r="A6" s="34">
        <v>58524</v>
      </c>
      <c r="B6" s="35">
        <v>0.28199999999999997</v>
      </c>
      <c r="C6" s="35">
        <f t="shared" si="0"/>
        <v>6.4999999999999974E-2</v>
      </c>
    </row>
    <row r="7" spans="1:3" x14ac:dyDescent="0.3">
      <c r="A7" s="34">
        <v>100729</v>
      </c>
      <c r="B7" s="35">
        <v>0.31</v>
      </c>
      <c r="C7" s="35">
        <f t="shared" si="0"/>
        <v>2.8000000000000025E-2</v>
      </c>
    </row>
  </sheetData>
  <mergeCells count="1">
    <mergeCell ref="A1:C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Control Panel</vt:lpstr>
      <vt:lpstr>Yearly Saving Result</vt:lpstr>
      <vt:lpstr>Control Panel V2</vt:lpstr>
      <vt:lpstr>One Year Savings</vt:lpstr>
      <vt:lpstr>Tax</vt:lpstr>
      <vt:lpstr>annual</vt:lpstr>
      <vt:lpstr>annualtax</vt:lpstr>
      <vt:lpstr>fixcost</vt:lpstr>
      <vt:lpstr>float</vt:lpstr>
      <vt:lpstr>hourly</vt:lpstr>
      <vt:lpstr>monthly</vt:lpstr>
      <vt:lpstr>monthlytax</vt:lpstr>
      <vt:lpstr>savings</vt:lpstr>
      <vt:lpstr>savings_percent</vt:lpstr>
      <vt:lpstr>varycost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Yeung</dc:creator>
  <cp:lastModifiedBy>Kyle Yeung</cp:lastModifiedBy>
  <cp:lastPrinted>2025-07-04T06:41:47Z</cp:lastPrinted>
  <dcterms:created xsi:type="dcterms:W3CDTF">2025-06-27T04:47:02Z</dcterms:created>
  <dcterms:modified xsi:type="dcterms:W3CDTF">2026-05-19T23:43:38Z</dcterms:modified>
</cp:coreProperties>
</file>